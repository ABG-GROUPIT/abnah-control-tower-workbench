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55a1e38fd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erprise Entry" sheetId="1" r:id="R78a520d5c9c94ed8"/>
    <x:sheet xmlns:r="http://schemas.openxmlformats.org/officeDocument/2006/relationships" name="Closing Stock" sheetId="2" r:id="R4f40ca69c9b64b8d"/>
    <x:sheet xmlns:r="http://schemas.openxmlformats.org/officeDocument/2006/relationships" name="Daily Sales" sheetId="3" r:id="R4dac5a60fd46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"/>
    <x:numFmt numFmtId="202" formatCode="₹#,##0.00"/>
    <x:numFmt numFmtId="203" formatCode="0.00"/>
    <x:numFmt numFmtId="204" formatCode="0"/>
  </x:numFmts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b5bdc11be44d71" /><Relationship Type="http://schemas.openxmlformats.org/officeDocument/2006/relationships/theme" Target="/xl/theme/theme1.xml" Id="R905b5d46251c4416" /><Relationship Type="http://schemas.openxmlformats.org/officeDocument/2006/relationships/sharedStrings" Target="/xl/sharedStrings.xml" Id="Rc5c6697b182d4447" /><Relationship Type="http://schemas.openxmlformats.org/officeDocument/2006/relationships/worksheet" Target="/xl/worksheets/sheet1.xml" Id="R78a520d5c9c94ed8" /><Relationship Type="http://schemas.openxmlformats.org/officeDocument/2006/relationships/worksheet" Target="/xl/worksheets/sheet2.xml" Id="R4f40ca69c9b64b8d" /><Relationship Type="http://schemas.openxmlformats.org/officeDocument/2006/relationships/worksheet" Target="/xl/worksheets/sheet3.xml" Id="R4dac5a60fd464150" /></Relationships>
</file>

<file path=xl/tables/table1.xml><?xml version="1.0" encoding="utf-8"?>
<x:table xmlns:x="http://schemas.openxmlformats.org/spreadsheetml/2006/main" id="1" name="Entry_Live_Drop" displayName="Entry_Live_Drop" ref="A1:AH7" headerRowCount="1" totalsRowCount="0" totalsRowShown="0">
  <x:tableColumns count="34">
    <x:tableColumn id="1" name="Deployment Name"/>
    <x:tableColumn id="2" name="Store/Kitchen Name"/>
    <x:tableColumn id="3" name="User Name"/>
    <x:tableColumn id="4" name="Vendor Name"/>
    <x:tableColumn id="5" name="Date"/>
    <x:tableColumn id="6" name="Transaction Number"/>
    <x:tableColumn id="7" name="Invoice Number"/>
    <x:tableColumn id="8" name="Batch Number"/>
    <x:tableColumn id="9" name="PR Number"/>
    <x:tableColumn id="10" name="PO Number"/>
    <x:tableColumn id="11" name="Invoice Date"/>
    <x:tableColumn id="12" name="Item Code"/>
    <x:tableColumn id="13" name="Item Name"/>
    <x:tableColumn id="14" name="Item Brand"/>
    <x:tableColumn id="15" name="Category Name"/>
    <x:tableColumn id="16" name="Super Category Name"/>
    <x:tableColumn id="17" name="Comment"/>
    <x:tableColumn id="18" name="Quantity"/>
    <x:tableColumn id="19" name="Unit"/>
    <x:tableColumn id="20" name="MRP"/>
    <x:tableColumn id="21" name="Unit Price"/>
    <x:tableColumn id="22" name="Charges Name"/>
    <x:tableColumn id="23" name="Amount"/>
    <x:tableColumn id="24" name="Discount"/>
    <x:tableColumn id="25" name="GST/IGST Rate"/>
    <x:tableColumn id="26" name="GST/IGST Value"/>
    <x:tableColumn id="27" name="CESS Rate"/>
    <x:tableColumn id="28" name="CESS Value"/>
    <x:tableColumn id="29" name="Other Taxes Rate"/>
    <x:tableColumn id="30" name="Other Taxes Value"/>
    <x:tableColumn id="31" name="Total Tax"/>
    <x:tableColumn id="32" name="Item Charges Amount"/>
    <x:tableColumn id="33" name="Total"/>
    <x:tableColumn id="3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osing_Live_Drop" displayName="Closing_Live_Drop" ref="A1:O6" headerRowCount="1" totalsRowCount="0" totalsRowShown="0">
  <x:tableColumns count="15">
    <x:tableColumn id="1" name="Deployment"/>
    <x:tableColumn id="2" name="Date"/>
    <x:tableColumn id="3" name="Generation Date"/>
    <x:tableColumn id="4" name="Generation Time"/>
    <x:tableColumn id="5" name="Item Code"/>
    <x:tableColumn id="6" name="Item Name"/>
    <x:tableColumn id="7" name="Super Category Code"/>
    <x:tableColumn id="8" name="Super Category Name"/>
    <x:tableColumn id="9" name="Category Code"/>
    <x:tableColumn id="10" name="Category Name"/>
    <x:tableColumn id="11" name="Unit Name"/>
    <x:tableColumn id="12" name="Average Price"/>
    <x:tableColumn id="13" name="GK2 Main Store"/>
    <x:tableColumn id="14" name="Total Qty"/>
    <x:tableColumn id="15" name="Total Am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ilySales_Live_Drop" displayName="DailySales_Live_Drop" ref="A1:Q8" headerRowCount="1" totalsRowCount="0" totalsRowShown="0">
  <x:tableColumns count="17">
    <x:tableColumn id="1" name="Source Row ID"/>
    <x:tableColumn id="2" name="Deployment"/>
    <x:tableColumn id="3" name="Business Date"/>
    <x:tableColumn id="4" name="Session"/>
    <x:tableColumn id="5" name="Time Slot"/>
    <x:tableColumn id="6" name="Sale Type"/>
    <x:tableColumn id="7" name="Gross Amount"/>
    <x:tableColumn id="8" name="Total Beverage Sale"/>
    <x:tableColumn id="9" name="Total Food Sale"/>
    <x:tableColumn id="10" name="Total Sale"/>
    <x:tableColumn id="11" name="Total Discount"/>
    <x:tableColumn id="12" name="Total Charge Amount"/>
    <x:tableColumn id="13" name="Roundoff"/>
    <x:tableColumn id="14" name="Total Gross"/>
    <x:tableColumn id="15" name="Total Bills"/>
    <x:tableColumn id="16" name="Total Covers"/>
    <x:tableColumn id="17" name="Total AP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a9a1d69e1b40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fd1203d77c42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937519ae1c46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5" hidden="0" customWidth="1"/>
    <x:col min="4" max="4" width="2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24" hidden="0" customWidth="1"/>
    <x:col min="14" max="14" width="16" hidden="0" customWidth="1"/>
    <x:col min="15" max="15" width="18" hidden="0" customWidth="1"/>
    <x:col min="16" max="16" width="14" hidden="0" customWidth="1"/>
    <x:col min="17" max="17" width="23" hidden="0" customWidth="1"/>
    <x:col min="18" max="18" width="11" hidden="0" customWidth="1"/>
    <x:col min="19" max="19" width="9" hidden="0" customWidth="1"/>
    <x:col min="20" max="20" width="12" hidden="0" customWidth="1"/>
    <x:col min="21" max="21" width="12" hidden="0" customWidth="1"/>
    <x:col min="22" max="22" width="14" hidden="0" customWidth="1"/>
    <x:col min="23" max="23" width="13" hidden="0" customWidth="1"/>
    <x:col min="24" max="24" width="11" hidden="0" customWidth="1"/>
    <x:col min="25" max="25" width="12" hidden="0" customWidth="1"/>
    <x:col min="26" max="26" width="13" hidden="0" customWidth="1"/>
    <x:col min="27" max="27" width="10" hidden="0" customWidth="1"/>
    <x:col min="28" max="28" width="12" hidden="0" customWidth="1"/>
    <x:col min="29" max="29" width="14" hidden="0" customWidth="1"/>
    <x:col min="30" max="30" width="14" hidden="0" customWidth="1"/>
    <x:col min="31" max="31" width="12" hidden="0" customWidth="1"/>
    <x:col min="32" max="32" width="14" hidden="0" customWidth="1"/>
    <x:col min="33" max="33" width="14" hidden="0" customWidth="1"/>
    <x:col min="34" max="34" width="23" hidden="0" customWidth="1"/>
  </x:cols>
  <x:sheetData>
    <x:row r="1" ht="36" customHeight="1">
      <x:c r="A1" s="8" t="str">
        <x:v>Deployment Name</x:v>
      </x:c>
      <x:c r="B1" s="8" t="str">
        <x:v>Store/Kitchen Name</x:v>
      </x:c>
      <x:c r="C1" s="8" t="str">
        <x:v>User Name</x:v>
      </x:c>
      <x:c r="D1" s="8" t="str">
        <x:v>Vendor Name</x:v>
      </x:c>
      <x:c r="E1" s="8" t="str">
        <x:v>Date</x:v>
      </x:c>
      <x:c r="F1" s="8" t="str">
        <x:v>Transaction Number</x:v>
      </x:c>
      <x:c r="G1" s="8" t="str">
        <x:v>Invoice Number</x:v>
      </x:c>
      <x:c r="H1" s="8" t="str">
        <x:v>Batch Number</x:v>
      </x:c>
      <x:c r="I1" s="8" t="str">
        <x:v>PR Number</x:v>
      </x:c>
      <x:c r="J1" s="8" t="str">
        <x:v>PO Number</x:v>
      </x:c>
      <x:c r="K1" s="8" t="str">
        <x:v>Invoice Date</x:v>
      </x:c>
      <x:c r="L1" s="8" t="str">
        <x:v>Item Code</x:v>
      </x:c>
      <x:c r="M1" s="8" t="str">
        <x:v>Item Name</x:v>
      </x:c>
      <x:c r="N1" s="8" t="str">
        <x:v>Item Brand</x:v>
      </x:c>
      <x:c r="O1" s="8" t="str">
        <x:v>Category Name</x:v>
      </x:c>
      <x:c r="P1" s="8" t="str">
        <x:v>Super Category Name</x:v>
      </x:c>
      <x:c r="Q1" s="8" t="str">
        <x:v>Comment</x:v>
      </x:c>
      <x:c r="R1" s="8" t="str">
        <x:v>Quantity</x:v>
      </x:c>
      <x:c r="S1" s="8" t="str">
        <x:v>Unit</x:v>
      </x:c>
      <x:c r="T1" s="8" t="str">
        <x:v>MRP</x:v>
      </x:c>
      <x:c r="U1" s="8" t="str">
        <x:v>Unit Price</x:v>
      </x:c>
      <x:c r="V1" s="8" t="str">
        <x:v>Charges Name</x:v>
      </x:c>
      <x:c r="W1" s="8" t="str">
        <x:v>Amount</x:v>
      </x:c>
      <x:c r="X1" s="8" t="str">
        <x:v>Discount</x:v>
      </x:c>
      <x:c r="Y1" s="8" t="str">
        <x:v>GST/IGST Rate</x:v>
      </x:c>
      <x:c r="Z1" s="8" t="str">
        <x:v>GST/IGST Value</x:v>
      </x:c>
      <x:c r="AA1" s="8" t="str">
        <x:v>CESS Rate</x:v>
      </x:c>
      <x:c r="AB1" s="8" t="str">
        <x:v>CESS Value</x:v>
      </x:c>
      <x:c r="AC1" s="8" t="str">
        <x:v>Other Taxes Rate</x:v>
      </x:c>
      <x:c r="AD1" s="8" t="str">
        <x:v>Other Taxes Value</x:v>
      </x:c>
      <x:c r="AE1" s="8" t="str">
        <x:v>Total Tax</x:v>
      </x:c>
      <x:c r="AF1" s="8" t="str">
        <x:v>Item Charges Amount</x:v>
      </x:c>
      <x:c r="AG1" s="8" t="str">
        <x:v>Total</x:v>
      </x:c>
      <x:c r="AH1" s="8" t="str">
        <x:v>Source</x:v>
      </x:c>
    </x:row>
    <x:row r="2" ht="21" customHeight="1">
      <x:c r="A2" s="3" t="str">
        <x:v>ABNAH Cafe Connaught Place</x:v>
      </x:c>
      <x:c r="B2" s="3" t="str">
        <x:v>GK2 Main Store</x:v>
      </x:c>
      <x:c r="C2" s="3" t="str">
        <x:v>demo.operator</x:v>
      </x:c>
      <x:c r="D2" s="3" t="str">
        <x:v>FreshDairy India Pvt Ltd</x:v>
      </x:c>
      <x:c r="E2" s="9" t="n">
        <x:v>46209</x:v>
      </x:c>
      <x:c r="F2" s="3" t="str">
        <x:v>GRN-W0101</x:v>
      </x:c>
      <x:c r="G2" s="3" t="str">
        <x:v>INV-W0101</x:v>
      </x:c>
      <x:c r="H2" s="3" t="str">
        <x:v>BATCH-W0101</x:v>
      </x:c>
      <x:c r="I2" s="3" t="str">
        <x:v>PR-W0101</x:v>
      </x:c>
      <x:c r="J2" s="3" t="str">
        <x:v>PO-W0101</x:v>
      </x:c>
      <x:c r="K2" s="9" t="n">
        <x:v>46209</x:v>
      </x:c>
      <x:c r="L2" s="3" t="str">
        <x:v>RM001</x:v>
      </x:c>
      <x:c r="M2" s="3" t="str">
        <x:v>Whole Milk</x:v>
      </x:c>
      <x:c r="N2" s="3" t="str">
        <x:v>FreshDairy</x:v>
      </x:c>
      <x:c r="O2" s="3" t="str">
        <x:v>Dairy</x:v>
      </x:c>
      <x:c r="P2" s="3" t="str">
        <x:v>InGoodCo</x:v>
      </x:c>
      <x:c r="Q2" s="3" t="str">
        <x:v>Synthetic week 1 receipt</x:v>
      </x:c>
      <x:c r="R2" s="10" t="n">
        <x:v>60</x:v>
      </x:c>
      <x:c r="S2" s="3" t="str">
        <x:v>LTR</x:v>
      </x:c>
      <x:c r="T2" s="11" t="n">
        <x:v>61.6</x:v>
      </x:c>
      <x:c r="U2" s="11" t="n">
        <x:v>56</x:v>
      </x:c>
      <x:c r="V2" s="3" t="str"/>
      <x:c r="W2" s="11" t="n">
        <x:f>INT(R2*U2*100+0.5)/100</x:f>
        <x:v>3360</x:v>
      </x:c>
      <x:c r="X2" s="11" t="n">
        <x:v>0</x:v>
      </x:c>
      <x:c r="Y2" s="12" t="n">
        <x:v>5</x:v>
      </x:c>
      <x:c r="Z2" s="11" t="n">
        <x:f>INT(W2*Y2+0.5)/100</x:f>
        <x:v>168</x:v>
      </x:c>
      <x:c r="AA2" s="12" t="n">
        <x:v>0</x:v>
      </x:c>
      <x:c r="AB2" s="11" t="n">
        <x:f>INT(W2*AA2+0.5)/100</x:f>
        <x:v>0</x:v>
      </x:c>
      <x:c r="AC2" s="12" t="n">
        <x:v>0</x:v>
      </x:c>
      <x:c r="AD2" s="11" t="n">
        <x:f>INT(W2*AC2+0.5)/100</x:f>
        <x:v>0</x:v>
      </x:c>
      <x:c r="AE2" s="11" t="n">
        <x:f>INT(SUM(Z2,AB2,AD2)*100+0.5)/100</x:f>
        <x:v>168</x:v>
      </x:c>
      <x:c r="AF2" s="11" t="n">
        <x:v>0</x:v>
      </x:c>
      <x:c r="AG2" s="11" t="n">
        <x:f>INT((W2-X2+AE2+AF2)*100+0.5)/100</x:f>
        <x:v>3528</x:v>
      </x:c>
      <x:c r="AH2" s="3" t="str">
        <x:v>Synthetic DataBridge Demo</x:v>
      </x:c>
    </x:row>
    <x:row r="3" ht="21" customHeight="1">
      <x:c r="A3" s="3" t="str">
        <x:v>ABNAH Cafe Connaught Place</x:v>
      </x:c>
      <x:c r="B3" s="3" t="str">
        <x:v>GK2 Main Store</x:v>
      </x:c>
      <x:c r="C3" s="3" t="str">
        <x:v>demo.operator</x:v>
      </x:c>
      <x:c r="D3" s="3" t="str">
        <x:v>BluePeak Coffee Traders</x:v>
      </x:c>
      <x:c r="E3" s="9" t="n">
        <x:v>46210</x:v>
      </x:c>
      <x:c r="F3" s="3" t="str">
        <x:v>GRN-W0102</x:v>
      </x:c>
      <x:c r="G3" s="3" t="str">
        <x:v>INV-W0102</x:v>
      </x:c>
      <x:c r="H3" s="3" t="str">
        <x:v>BATCH-W0102</x:v>
      </x:c>
      <x:c r="I3" s="3" t="str">
        <x:v>PR-W0102</x:v>
      </x:c>
      <x:c r="J3" s="3" t="str">
        <x:v>PO-W0102</x:v>
      </x:c>
      <x:c r="K3" s="9" t="n">
        <x:v>46210</x:v>
      </x:c>
      <x:c r="L3" s="3" t="str">
        <x:v>RM002</x:v>
      </x:c>
      <x:c r="M3" s="3" t="str">
        <x:v>Arabica Coffee Beans</x:v>
      </x:c>
      <x:c r="N3" s="3" t="str">
        <x:v>BluePeak</x:v>
      </x:c>
      <x:c r="O3" s="3" t="str">
        <x:v>Beverage Inputs</x:v>
      </x:c>
      <x:c r="P3" s="3" t="str">
        <x:v>InGoodCo</x:v>
      </x:c>
      <x:c r="Q3" s="3" t="str">
        <x:v>Synthetic week 1 receipt</x:v>
      </x:c>
      <x:c r="R3" s="10" t="n">
        <x:v>25</x:v>
      </x:c>
      <x:c r="S3" s="3" t="str">
        <x:v>KG</x:v>
      </x:c>
      <x:c r="T3" s="11" t="n">
        <x:v>792</x:v>
      </x:c>
      <x:c r="U3" s="11" t="n">
        <x:v>720</x:v>
      </x:c>
      <x:c r="V3" s="3" t="str"/>
      <x:c r="W3" s="11" t="n">
        <x:f>INT(R3*U3*100+0.5)/100</x:f>
        <x:v>18000</x:v>
      </x:c>
      <x:c r="X3" s="11" t="n">
        <x:v>0</x:v>
      </x:c>
      <x:c r="Y3" s="12" t="n">
        <x:v>5</x:v>
      </x:c>
      <x:c r="Z3" s="11" t="n">
        <x:f>INT(W3*Y3+0.5)/100</x:f>
        <x:v>900</x:v>
      </x:c>
      <x:c r="AA3" s="12" t="n">
        <x:v>0</x:v>
      </x:c>
      <x:c r="AB3" s="11" t="n">
        <x:f>INT(W3*AA3+0.5)/100</x:f>
        <x:v>0</x:v>
      </x:c>
      <x:c r="AC3" s="12" t="n">
        <x:v>0</x:v>
      </x:c>
      <x:c r="AD3" s="11" t="n">
        <x:f>INT(W3*AC3+0.5)/100</x:f>
        <x:v>0</x:v>
      </x:c>
      <x:c r="AE3" s="11" t="n">
        <x:f>INT(SUM(Z3,AB3,AD3)*100+0.5)/100</x:f>
        <x:v>900</x:v>
      </x:c>
      <x:c r="AF3" s="11" t="n">
        <x:v>0</x:v>
      </x:c>
      <x:c r="AG3" s="11" t="n">
        <x:f>INT((W3-X3+AE3+AF3)*100+0.5)/100</x:f>
        <x:v>18900</x:v>
      </x:c>
      <x:c r="AH3" s="3" t="str">
        <x:v>Synthetic DataBridge Demo</x:v>
      </x:c>
    </x:row>
    <x:row r="4" ht="21" customHeight="1">
      <x:c r="A4" s="3" t="str">
        <x:v>ABNAH Cafe Connaught Place</x:v>
      </x:c>
      <x:c r="B4" s="3" t="str">
        <x:v>GK2 Main Store</x:v>
      </x:c>
      <x:c r="C4" s="3" t="str">
        <x:v>demo.operator</x:v>
      </x:c>
      <x:c r="D4" s="3" t="str">
        <x:v>Madhur Sugar Distributors</x:v>
      </x:c>
      <x:c r="E4" s="9" t="n">
        <x:v>46211</x:v>
      </x:c>
      <x:c r="F4" s="3" t="str">
        <x:v>GRN-W0103</x:v>
      </x:c>
      <x:c r="G4" s="3" t="str">
        <x:v>INV-W0103</x:v>
      </x:c>
      <x:c r="H4" s="3" t="str">
        <x:v>BATCH-W0103</x:v>
      </x:c>
      <x:c r="I4" s="3" t="str">
        <x:v>PR-W0103</x:v>
      </x:c>
      <x:c r="J4" s="3" t="str">
        <x:v>PO-W0103</x:v>
      </x:c>
      <x:c r="K4" s="9" t="n">
        <x:v>46211</x:v>
      </x:c>
      <x:c r="L4" s="3" t="str">
        <x:v>RM003</x:v>
      </x:c>
      <x:c r="M4" s="3" t="str">
        <x:v>Refined Sugar</x:v>
      </x:c>
      <x:c r="N4" s="3" t="str">
        <x:v>Madhur</x:v>
      </x:c>
      <x:c r="O4" s="3" t="str">
        <x:v>Grocery</x:v>
      </x:c>
      <x:c r="P4" s="3" t="str">
        <x:v>InGoodCo</x:v>
      </x:c>
      <x:c r="Q4" s="3" t="str">
        <x:v>Synthetic week 1 receipt</x:v>
      </x:c>
      <x:c r="R4" s="10" t="n">
        <x:v>40</x:v>
      </x:c>
      <x:c r="S4" s="3" t="str">
        <x:v>KG</x:v>
      </x:c>
      <x:c r="T4" s="11" t="n">
        <x:v>48.4</x:v>
      </x:c>
      <x:c r="U4" s="11" t="n">
        <x:v>44</x:v>
      </x:c>
      <x:c r="V4" s="3" t="str"/>
      <x:c r="W4" s="11" t="n">
        <x:f>INT(R4*U4*100+0.5)/100</x:f>
        <x:v>1760</x:v>
      </x:c>
      <x:c r="X4" s="11" t="n">
        <x:v>0</x:v>
      </x:c>
      <x:c r="Y4" s="12" t="n">
        <x:v>5</x:v>
      </x:c>
      <x:c r="Z4" s="11" t="n">
        <x:f>INT(W4*Y4+0.5)/100</x:f>
        <x:v>88</x:v>
      </x:c>
      <x:c r="AA4" s="12" t="n">
        <x:v>0</x:v>
      </x:c>
      <x:c r="AB4" s="11" t="n">
        <x:f>INT(W4*AA4+0.5)/100</x:f>
        <x:v>0</x:v>
      </x:c>
      <x:c r="AC4" s="12" t="n">
        <x:v>0</x:v>
      </x:c>
      <x:c r="AD4" s="11" t="n">
        <x:f>INT(W4*AC4+0.5)/100</x:f>
        <x:v>0</x:v>
      </x:c>
      <x:c r="AE4" s="11" t="n">
        <x:f>INT(SUM(Z4,AB4,AD4)*100+0.5)/100</x:f>
        <x:v>88</x:v>
      </x:c>
      <x:c r="AF4" s="11" t="n">
        <x:v>0</x:v>
      </x:c>
      <x:c r="AG4" s="11" t="n">
        <x:f>INT((W4-X4+AE4+AF4)*100+0.5)/100</x:f>
        <x:v>1848</x:v>
      </x:c>
      <x:c r="AH4" s="3" t="str">
        <x:v>Synthetic DataBridge Demo</x:v>
      </x:c>
    </x:row>
    <x:row r="5" ht="21" customHeight="1">
      <x:c r="A5" s="3" t="str">
        <x:v>ABNAH Cafe Connaught Place</x:v>
      </x:c>
      <x:c r="B5" s="3" t="str">
        <x:v>GK2 Main Store</x:v>
      </x:c>
      <x:c r="C5" s="3" t="str">
        <x:v>demo.operator</x:v>
      </x:c>
      <x:c r="D5" s="3" t="str">
        <x:v>Bakers Choice Foods</x:v>
      </x:c>
      <x:c r="E5" s="9" t="n">
        <x:v>46212</x:v>
      </x:c>
      <x:c r="F5" s="3" t="str">
        <x:v>GRN-W0104</x:v>
      </x:c>
      <x:c r="G5" s="3" t="str">
        <x:v>INV-W0104</x:v>
      </x:c>
      <x:c r="H5" s="3" t="str">
        <x:v>BATCH-W0104</x:v>
      </x:c>
      <x:c r="I5" s="3" t="str">
        <x:v>PR-W0104</x:v>
      </x:c>
      <x:c r="J5" s="3" t="str">
        <x:v>PO-W0104</x:v>
      </x:c>
      <x:c r="K5" s="9" t="n">
        <x:v>46212</x:v>
      </x:c>
      <x:c r="L5" s="3" t="str">
        <x:v>RM004</x:v>
      </x:c>
      <x:c r="M5" s="3" t="str">
        <x:v>Vanilla Cake Base</x:v>
      </x:c>
      <x:c r="N5" s="3" t="str">
        <x:v>Bakers Choice</x:v>
      </x:c>
      <x:c r="O5" s="3" t="str">
        <x:v>Bakery Inputs</x:v>
      </x:c>
      <x:c r="P5" s="3" t="str">
        <x:v>InGoodCo</x:v>
      </x:c>
      <x:c r="Q5" s="3" t="str">
        <x:v>Synthetic week 1 receipt</x:v>
      </x:c>
      <x:c r="R5" s="10" t="n">
        <x:v>30</x:v>
      </x:c>
      <x:c r="S5" s="3" t="str">
        <x:v>KG</x:v>
      </x:c>
      <x:c r="T5" s="11" t="n">
        <x:v>198</x:v>
      </x:c>
      <x:c r="U5" s="11" t="n">
        <x:v>180</x:v>
      </x:c>
      <x:c r="V5" s="3" t="str"/>
      <x:c r="W5" s="11" t="n">
        <x:f>INT(R5*U5*100+0.5)/100</x:f>
        <x:v>5400</x:v>
      </x:c>
      <x:c r="X5" s="11" t="n">
        <x:v>0</x:v>
      </x:c>
      <x:c r="Y5" s="12" t="n">
        <x:v>18</x:v>
      </x:c>
      <x:c r="Z5" s="11" t="n">
        <x:f>INT(W5*Y5+0.5)/100</x:f>
        <x:v>972</x:v>
      </x:c>
      <x:c r="AA5" s="12" t="n">
        <x:v>0</x:v>
      </x:c>
      <x:c r="AB5" s="11" t="n">
        <x:f>INT(W5*AA5+0.5)/100</x:f>
        <x:v>0</x:v>
      </x:c>
      <x:c r="AC5" s="12" t="n">
        <x:v>0</x:v>
      </x:c>
      <x:c r="AD5" s="11" t="n">
        <x:f>INT(W5*AC5+0.5)/100</x:f>
        <x:v>0</x:v>
      </x:c>
      <x:c r="AE5" s="11" t="n">
        <x:f>INT(SUM(Z5,AB5,AD5)*100+0.5)/100</x:f>
        <x:v>972</x:v>
      </x:c>
      <x:c r="AF5" s="11" t="n">
        <x:v>0</x:v>
      </x:c>
      <x:c r="AG5" s="11" t="n">
        <x:f>INT((W5-X5+AE5+AF5)*100+0.5)/100</x:f>
        <x:v>6372</x:v>
      </x:c>
      <x:c r="AH5" s="3" t="str">
        <x:v>Synthetic DataBridge Demo</x:v>
      </x:c>
    </x:row>
    <x:row r="6" ht="21" customHeight="1">
      <x:c r="A6" s="3" t="str">
        <x:v>ABNAH Cafe Connaught Place</x:v>
      </x:c>
      <x:c r="B6" s="3" t="str">
        <x:v>GK2 Main Store</x:v>
      </x:c>
      <x:c r="C6" s="3" t="str">
        <x:v>demo.operator</x:v>
      </x:c>
      <x:c r="D6" s="3" t="str">
        <x:v>EcoServe Packaging</x:v>
      </x:c>
      <x:c r="E6" s="9" t="n">
        <x:v>46213</x:v>
      </x:c>
      <x:c r="F6" s="3" t="str">
        <x:v>GRN-W0105</x:v>
      </x:c>
      <x:c r="G6" s="3" t="str">
        <x:v>INV-W0105</x:v>
      </x:c>
      <x:c r="H6" s="3" t="str">
        <x:v>BATCH-W0105</x:v>
      </x:c>
      <x:c r="I6" s="3" t="str">
        <x:v>PR-W0105</x:v>
      </x:c>
      <x:c r="J6" s="3" t="str">
        <x:v>PO-W0105</x:v>
      </x:c>
      <x:c r="K6" s="9" t="n">
        <x:v>46213</x:v>
      </x:c>
      <x:c r="L6" s="3" t="str">
        <x:v>RM005</x:v>
      </x:c>
      <x:c r="M6" s="3" t="str">
        <x:v>12 oz Paper Cup</x:v>
      </x:c>
      <x:c r="N6" s="3" t="str">
        <x:v>EcoServe</x:v>
      </x:c>
      <x:c r="O6" s="3" t="str">
        <x:v>Packaging</x:v>
      </x:c>
      <x:c r="P6" s="3" t="str">
        <x:v>InGoodCo</x:v>
      </x:c>
      <x:c r="Q6" s="3" t="str">
        <x:v>Synthetic week 1 receipt</x:v>
      </x:c>
      <x:c r="R6" s="10" t="n">
        <x:v>600</x:v>
      </x:c>
      <x:c r="S6" s="3" t="str">
        <x:v>PCS</x:v>
      </x:c>
      <x:c r="T6" s="11" t="n">
        <x:v>3.52</x:v>
      </x:c>
      <x:c r="U6" s="11" t="n">
        <x:v>3.2</x:v>
      </x:c>
      <x:c r="V6" s="3" t="str"/>
      <x:c r="W6" s="11" t="n">
        <x:f>INT(R6*U6*100+0.5)/100</x:f>
        <x:v>1920</x:v>
      </x:c>
      <x:c r="X6" s="11" t="n">
        <x:v>0</x:v>
      </x:c>
      <x:c r="Y6" s="12" t="n">
        <x:v>18</x:v>
      </x:c>
      <x:c r="Z6" s="11" t="n">
        <x:f>INT(W6*Y6+0.5)/100</x:f>
        <x:v>345.6</x:v>
      </x:c>
      <x:c r="AA6" s="12" t="n">
        <x:v>0</x:v>
      </x:c>
      <x:c r="AB6" s="11" t="n">
        <x:f>INT(W6*AA6+0.5)/100</x:f>
        <x:v>0</x:v>
      </x:c>
      <x:c r="AC6" s="12" t="n">
        <x:v>0</x:v>
      </x:c>
      <x:c r="AD6" s="11" t="n">
        <x:f>INT(W6*AC6+0.5)/100</x:f>
        <x:v>0</x:v>
      </x:c>
      <x:c r="AE6" s="11" t="n">
        <x:f>INT(SUM(Z6,AB6,AD6)*100+0.5)/100</x:f>
        <x:v>345.6</x:v>
      </x:c>
      <x:c r="AF6" s="11" t="n">
        <x:v>0</x:v>
      </x:c>
      <x:c r="AG6" s="11" t="n">
        <x:f>INT((W6-X6+AE6+AF6)*100+0.5)/100</x:f>
        <x:v>2265.6</x:v>
      </x:c>
      <x:c r="AH6" s="3" t="str">
        <x:v>Synthetic DataBridge Demo</x:v>
      </x:c>
    </x:row>
    <x:row r="7" ht="21" customHeight="1">
      <x:c r="A7" s="3" t="str">
        <x:v>ABNAH Cafe Connaught Place</x:v>
      </x:c>
      <x:c r="B7" s="3" t="str">
        <x:v>GK2 Main Store</x:v>
      </x:c>
      <x:c r="C7" s="3" t="str">
        <x:v>demo.operator</x:v>
      </x:c>
      <x:c r="D7" s="3" t="str">
        <x:v>FreshDairy India Pvt Ltd</x:v>
      </x:c>
      <x:c r="E7" s="9" t="n">
        <x:v>46214</x:v>
      </x:c>
      <x:c r="F7" s="3" t="str">
        <x:v>GRN-W0106</x:v>
      </x:c>
      <x:c r="G7" s="3" t="str">
        <x:v>INV-W0106</x:v>
      </x:c>
      <x:c r="H7" s="3" t="str">
        <x:v>BATCH-W0106</x:v>
      </x:c>
      <x:c r="I7" s="3" t="str">
        <x:v>PR-W0106</x:v>
      </x:c>
      <x:c r="J7" s="3" t="str">
        <x:v>PO-W0106</x:v>
      </x:c>
      <x:c r="K7" s="9" t="n">
        <x:v>46214</x:v>
      </x:c>
      <x:c r="L7" s="3" t="str">
        <x:v>RM001</x:v>
      </x:c>
      <x:c r="M7" s="3" t="str">
        <x:v>Whole Milk</x:v>
      </x:c>
      <x:c r="N7" s="3" t="str">
        <x:v>FreshDairy</x:v>
      </x:c>
      <x:c r="O7" s="3" t="str">
        <x:v>Dairy</x:v>
      </x:c>
      <x:c r="P7" s="3" t="str">
        <x:v>InGoodCo</x:v>
      </x:c>
      <x:c r="Q7" s="3" t="str">
        <x:v>Synthetic week 1 receipt</x:v>
      </x:c>
      <x:c r="R7" s="10" t="n">
        <x:v>45</x:v>
      </x:c>
      <x:c r="S7" s="3" t="str">
        <x:v>LTR</x:v>
      </x:c>
      <x:c r="T7" s="11" t="n">
        <x:v>62.7</x:v>
      </x:c>
      <x:c r="U7" s="11" t="n">
        <x:v>57</x:v>
      </x:c>
      <x:c r="V7" s="3" t="str"/>
      <x:c r="W7" s="11" t="n">
        <x:f>INT(R7*U7*100+0.5)/100</x:f>
        <x:v>2565</x:v>
      </x:c>
      <x:c r="X7" s="11" t="n">
        <x:v>0</x:v>
      </x:c>
      <x:c r="Y7" s="12" t="n">
        <x:v>5</x:v>
      </x:c>
      <x:c r="Z7" s="11" t="n">
        <x:f>INT(W7*Y7+0.5)/100</x:f>
        <x:v>128.25</x:v>
      </x:c>
      <x:c r="AA7" s="12" t="n">
        <x:v>0</x:v>
      </x:c>
      <x:c r="AB7" s="11" t="n">
        <x:f>INT(W7*AA7+0.5)/100</x:f>
        <x:v>0</x:v>
      </x:c>
      <x:c r="AC7" s="12" t="n">
        <x:v>0</x:v>
      </x:c>
      <x:c r="AD7" s="11" t="n">
        <x:f>INT(W7*AC7+0.5)/100</x:f>
        <x:v>0</x:v>
      </x:c>
      <x:c r="AE7" s="11" t="n">
        <x:f>INT(SUM(Z7,AB7,AD7)*100+0.5)/100</x:f>
        <x:v>128.25</x:v>
      </x:c>
      <x:c r="AF7" s="11" t="n">
        <x:v>0</x:v>
      </x:c>
      <x:c r="AG7" s="11" t="n">
        <x:f>INT((W7-X7+AE7+AF7)*100+0.5)/100</x:f>
        <x:v>2693.25</x:v>
      </x:c>
      <x:c r="AH7" s="3" t="str">
        <x:v>Synthetic DataBridge Demo</x:v>
      </x:c>
    </x:row>
  </x:sheetData>
  <x:pageMargins left="0.7" right="0.7" top="0.75" bottom="0.75" header="0.3" footer="0.3"/>
  <x:tableParts count="1">
    <x:tablePart xmlns:r="http://schemas.openxmlformats.org/officeDocument/2006/relationships" r:id="R57a9a1d69e1b408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3" hidden="0" customWidth="1"/>
    <x:col min="5" max="5" width="12" hidden="0" customWidth="1"/>
    <x:col min="6" max="6" width="24" hidden="0" customWidth="1"/>
    <x:col min="7" max="7" width="14" hidden="0" customWidth="1"/>
    <x:col min="8" max="8" width="16" hidden="0" customWidth="1"/>
    <x:col min="9" max="9" width="14" hidden="0" customWidth="1"/>
    <x:col min="10" max="10" width="18" hidden="0" customWidth="1"/>
    <x:col min="11" max="11" width="11" hidden="0" customWidth="1"/>
    <x:col min="12" max="12" width="13" hidden="0" customWidth="1"/>
    <x:col min="13" max="13" width="15" hidden="0" customWidth="1"/>
    <x:col min="14" max="14" width="12" hidden="0" customWidth="1"/>
    <x:col min="15" max="15" width="14" hidden="0" customWidth="1"/>
  </x:cols>
  <x:sheetData>
    <x:row r="1" ht="36" customHeight="1">
      <x:c r="A1" s="8" t="str">
        <x:v>Deployment</x:v>
      </x:c>
      <x:c r="B1" s="8" t="str">
        <x:v>Date</x:v>
      </x:c>
      <x:c r="C1" s="8" t="str">
        <x:v>Generation Date</x:v>
      </x:c>
      <x:c r="D1" s="8" t="str">
        <x:v>Generation Time</x:v>
      </x:c>
      <x:c r="E1" s="8" t="str">
        <x:v>Item Code</x:v>
      </x:c>
      <x:c r="F1" s="8" t="str">
        <x:v>Item Name</x:v>
      </x:c>
      <x:c r="G1" s="8" t="str">
        <x:v>Super Category Code</x:v>
      </x:c>
      <x:c r="H1" s="8" t="str">
        <x:v>Super Category Name</x:v>
      </x:c>
      <x:c r="I1" s="8" t="str">
        <x:v>Category Code</x:v>
      </x:c>
      <x:c r="J1" s="8" t="str">
        <x:v>Category Name</x:v>
      </x:c>
      <x:c r="K1" s="8" t="str">
        <x:v>Unit Name</x:v>
      </x:c>
      <x:c r="L1" s="8" t="str">
        <x:v>Average Price</x:v>
      </x:c>
      <x:c r="M1" s="8" t="str">
        <x:v>GK2 Main Store</x:v>
      </x:c>
      <x:c r="N1" s="8" t="str">
        <x:v>Total Qty</x:v>
      </x:c>
      <x:c r="O1" s="8" t="str">
        <x:v>Total Amt</x:v>
      </x:c>
    </x:row>
    <x:row r="2" ht="21" customHeight="1">
      <x:c r="A2" s="3" t="str">
        <x:v>ABNAH Cafe Connaught Place</x:v>
      </x:c>
      <x:c r="B2" s="9" t="n">
        <x:v>46215</x:v>
      </x:c>
      <x:c r="C2" s="9" t="n">
        <x:v>46215</x:v>
      </x:c>
      <x:c r="D2" s="3" t="str">
        <x:v>23:59:00</x:v>
      </x:c>
      <x:c r="E2" s="3" t="str">
        <x:v>RM001</x:v>
      </x:c>
      <x:c r="F2" s="3" t="str">
        <x:v>Whole Milk</x:v>
      </x:c>
      <x:c r="G2" s="3" t="str">
        <x:v>INGC</x:v>
      </x:c>
      <x:c r="H2" s="3" t="str">
        <x:v>InGoodCo</x:v>
      </x:c>
      <x:c r="I2" s="3" t="str">
        <x:v>DAIRY</x:v>
      </x:c>
      <x:c r="J2" s="3" t="str">
        <x:v>Dairy</x:v>
      </x:c>
      <x:c r="K2" s="3" t="str">
        <x:v>LTR</x:v>
      </x:c>
      <x:c r="L2" s="11" t="n">
        <x:v>56.43</x:v>
      </x:c>
      <x:c r="M2" s="10" t="n">
        <x:v>28</x:v>
      </x:c>
      <x:c r="N2" s="10" t="n">
        <x:f>M2</x:f>
        <x:v>28</x:v>
      </x:c>
      <x:c r="O2" s="11" t="n">
        <x:f>INT(L2*N2*100+0.5)/100</x:f>
        <x:v>1580.04</x:v>
      </x:c>
    </x:row>
    <x:row r="3" ht="21" customHeight="1">
      <x:c r="A3" s="3" t="str">
        <x:v>ABNAH Cafe Connaught Place</x:v>
      </x:c>
      <x:c r="B3" s="9" t="n">
        <x:v>46215</x:v>
      </x:c>
      <x:c r="C3" s="9" t="n">
        <x:v>46215</x:v>
      </x:c>
      <x:c r="D3" s="3" t="str">
        <x:v>23:59:00</x:v>
      </x:c>
      <x:c r="E3" s="3" t="str">
        <x:v>RM002</x:v>
      </x:c>
      <x:c r="F3" s="3" t="str">
        <x:v>Arabica Coffee Beans</x:v>
      </x:c>
      <x:c r="G3" s="3" t="str">
        <x:v>INGC</x:v>
      </x:c>
      <x:c r="H3" s="3" t="str">
        <x:v>InGoodCo</x:v>
      </x:c>
      <x:c r="I3" s="3" t="str">
        <x:v>BEV-IN</x:v>
      </x:c>
      <x:c r="J3" s="3" t="str">
        <x:v>Beverage Inputs</x:v>
      </x:c>
      <x:c r="K3" s="3" t="str">
        <x:v>KG</x:v>
      </x:c>
      <x:c r="L3" s="11" t="n">
        <x:v>720</x:v>
      </x:c>
      <x:c r="M3" s="10" t="n">
        <x:v>14</x:v>
      </x:c>
      <x:c r="N3" s="10" t="n">
        <x:f>M3</x:f>
        <x:v>14</x:v>
      </x:c>
      <x:c r="O3" s="11" t="n">
        <x:f>INT(L3*N3*100+0.5)/100</x:f>
        <x:v>10080</x:v>
      </x:c>
    </x:row>
    <x:row r="4" ht="21" customHeight="1">
      <x:c r="A4" s="3" t="str">
        <x:v>ABNAH Cafe Connaught Place</x:v>
      </x:c>
      <x:c r="B4" s="9" t="n">
        <x:v>46215</x:v>
      </x:c>
      <x:c r="C4" s="9" t="n">
        <x:v>46215</x:v>
      </x:c>
      <x:c r="D4" s="3" t="str">
        <x:v>23:59:00</x:v>
      </x:c>
      <x:c r="E4" s="3" t="str">
        <x:v>RM003</x:v>
      </x:c>
      <x:c r="F4" s="3" t="str">
        <x:v>Refined Sugar</x:v>
      </x:c>
      <x:c r="G4" s="3" t="str">
        <x:v>INGC</x:v>
      </x:c>
      <x:c r="H4" s="3" t="str">
        <x:v>InGoodCo</x:v>
      </x:c>
      <x:c r="I4" s="3" t="str">
        <x:v>GROC</x:v>
      </x:c>
      <x:c r="J4" s="3" t="str">
        <x:v>Grocery</x:v>
      </x:c>
      <x:c r="K4" s="3" t="str">
        <x:v>KG</x:v>
      </x:c>
      <x:c r="L4" s="11" t="n">
        <x:v>44</x:v>
      </x:c>
      <x:c r="M4" s="10" t="n">
        <x:v>35</x:v>
      </x:c>
      <x:c r="N4" s="10" t="n">
        <x:f>M4</x:f>
        <x:v>35</x:v>
      </x:c>
      <x:c r="O4" s="11" t="n">
        <x:f>INT(L4*N4*100+0.5)/100</x:f>
        <x:v>1540</x:v>
      </x:c>
    </x:row>
    <x:row r="5" ht="21" customHeight="1">
      <x:c r="A5" s="3" t="str">
        <x:v>ABNAH Cafe Connaught Place</x:v>
      </x:c>
      <x:c r="B5" s="9" t="n">
        <x:v>46215</x:v>
      </x:c>
      <x:c r="C5" s="9" t="n">
        <x:v>46215</x:v>
      </x:c>
      <x:c r="D5" s="3" t="str">
        <x:v>23:59:00</x:v>
      </x:c>
      <x:c r="E5" s="3" t="str">
        <x:v>RM004</x:v>
      </x:c>
      <x:c r="F5" s="3" t="str">
        <x:v>Vanilla Cake Base</x:v>
      </x:c>
      <x:c r="G5" s="3" t="str">
        <x:v>INGC</x:v>
      </x:c>
      <x:c r="H5" s="3" t="str">
        <x:v>InGoodCo</x:v>
      </x:c>
      <x:c r="I5" s="3" t="str">
        <x:v>BAKE</x:v>
      </x:c>
      <x:c r="J5" s="3" t="str">
        <x:v>Bakery Inputs</x:v>
      </x:c>
      <x:c r="K5" s="3" t="str">
        <x:v>KG</x:v>
      </x:c>
      <x:c r="L5" s="11" t="n">
        <x:v>180</x:v>
      </x:c>
      <x:c r="M5" s="10" t="n">
        <x:v>12</x:v>
      </x:c>
      <x:c r="N5" s="10" t="n">
        <x:f>M5</x:f>
        <x:v>12</x:v>
      </x:c>
      <x:c r="O5" s="11" t="n">
        <x:f>INT(L5*N5*100+0.5)/100</x:f>
        <x:v>2160</x:v>
      </x:c>
    </x:row>
    <x:row r="6" ht="21" customHeight="1">
      <x:c r="A6" s="3" t="str">
        <x:v>ABNAH Cafe Connaught Place</x:v>
      </x:c>
      <x:c r="B6" s="9" t="n">
        <x:v>46215</x:v>
      </x:c>
      <x:c r="C6" s="9" t="n">
        <x:v>46215</x:v>
      </x:c>
      <x:c r="D6" s="3" t="str">
        <x:v>23:59:00</x:v>
      </x:c>
      <x:c r="E6" s="3" t="str">
        <x:v>RM005</x:v>
      </x:c>
      <x:c r="F6" s="3" t="str">
        <x:v>12 oz Paper Cup</x:v>
      </x:c>
      <x:c r="G6" s="3" t="str">
        <x:v>INGC</x:v>
      </x:c>
      <x:c r="H6" s="3" t="str">
        <x:v>InGoodCo</x:v>
      </x:c>
      <x:c r="I6" s="3" t="str">
        <x:v>PACK</x:v>
      </x:c>
      <x:c r="J6" s="3" t="str">
        <x:v>Packaging</x:v>
      </x:c>
      <x:c r="K6" s="3" t="str">
        <x:v>PCS</x:v>
      </x:c>
      <x:c r="L6" s="11" t="n">
        <x:v>3.2</x:v>
      </x:c>
      <x:c r="M6" s="10" t="n">
        <x:v>380</x:v>
      </x:c>
      <x:c r="N6" s="10" t="n">
        <x:f>M6</x:f>
        <x:v>380</x:v>
      </x:c>
      <x:c r="O6" s="11" t="n">
        <x:f>INT(L6*N6*100+0.5)/100</x:f>
        <x:v>1216</x:v>
      </x:c>
    </x:row>
  </x:sheetData>
  <x:pageMargins left="0.7" right="0.7" top="0.75" bottom="0.75" header="0.3" footer="0.3"/>
  <x:tableParts count="1">
    <x:tablePart xmlns:r="http://schemas.openxmlformats.org/officeDocument/2006/relationships" r:id="R29fd1203d77c42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3" hidden="0" customWidth="1"/>
    <x:col min="4" max="4" width="12" hidden="0" customWidth="1"/>
    <x:col min="5" max="5" width="16" hidden="0" customWidth="1"/>
    <x:col min="6" max="6" width="19" hidden="0" customWidth="1"/>
    <x:col min="7" max="7" width="14" hidden="0" customWidth="1"/>
    <x:col min="8" max="8" width="16" hidden="0" customWidth="1"/>
    <x:col min="9" max="9" width="14" hidden="0" customWidth="1"/>
    <x:col min="10" max="10" width="13" hidden="0" customWidth="1"/>
    <x:col min="11" max="11" width="14" hidden="0" customWidth="1"/>
    <x:col min="12" max="12" width="16" hidden="0" customWidth="1"/>
    <x:col min="13" max="13" width="11" hidden="0" customWidth="1"/>
    <x:col min="14" max="14" width="14" hidden="0" customWidth="1"/>
    <x:col min="15" max="15" width="11" hidden="0" customWidth="1"/>
    <x:col min="16" max="16" width="12" hidden="0" customWidth="1"/>
    <x:col min="17" max="17" width="12" hidden="0" customWidth="1"/>
  </x:cols>
  <x:sheetData>
    <x:row r="1" ht="36" customHeight="1">
      <x:c r="A1" s="8" t="str">
        <x:v>Source Row ID</x:v>
      </x:c>
      <x:c r="B1" s="8" t="str">
        <x:v>Deployment</x:v>
      </x:c>
      <x:c r="C1" s="8" t="str">
        <x:v>Business Date</x:v>
      </x:c>
      <x:c r="D1" s="8" t="str">
        <x:v>Session</x:v>
      </x:c>
      <x:c r="E1" s="8" t="str">
        <x:v>Time Slot</x:v>
      </x:c>
      <x:c r="F1" s="8" t="str">
        <x:v>Sale Type</x:v>
      </x:c>
      <x:c r="G1" s="8" t="str">
        <x:v>Gross Amount</x:v>
      </x:c>
      <x:c r="H1" s="8" t="str">
        <x:v>Total Beverage Sale</x:v>
      </x:c>
      <x:c r="I1" s="8" t="str">
        <x:v>Total Food Sale</x:v>
      </x:c>
      <x:c r="J1" s="8" t="str">
        <x:v>Total Sale</x:v>
      </x:c>
      <x:c r="K1" s="8" t="str">
        <x:v>Total Discount</x:v>
      </x:c>
      <x:c r="L1" s="8" t="str">
        <x:v>Total Charge Amount</x:v>
      </x:c>
      <x:c r="M1" s="8" t="str">
        <x:v>Roundoff</x:v>
      </x:c>
      <x:c r="N1" s="8" t="str">
        <x:v>Total Gross</x:v>
      </x:c>
      <x:c r="O1" s="8" t="str">
        <x:v>Total Bills</x:v>
      </x:c>
      <x:c r="P1" s="8" t="str">
        <x:v>Total Covers</x:v>
      </x:c>
      <x:c r="Q1" s="8" t="str">
        <x:v>Total APC</x:v>
      </x:c>
    </x:row>
    <x:row r="2" ht="21" customHeight="1">
      <x:c r="A2" s="3" t="str">
        <x:v>DS-W01-01</x:v>
      </x:c>
      <x:c r="B2" s="3" t="str">
        <x:v>ABNAH Cafe Connaught Place</x:v>
      </x:c>
      <x:c r="C2" s="9" t="n">
        <x:v>46209</x:v>
      </x:c>
      <x:c r="D2" s="3" t="str">
        <x:v>All Day</x:v>
      </x:c>
      <x:c r="E2" s="3" t="str">
        <x:v>00:00-23:59</x:v>
      </x:c>
      <x:c r="F2" s="3" t="str">
        <x:v>Dine-in + Delivery</x:v>
      </x:c>
      <x:c r="G2" s="11" t="n">
        <x:f>H2+I2</x:f>
        <x:v>33300</x:v>
      </x:c>
      <x:c r="H2" s="11" t="n">
        <x:v>18500</x:v>
      </x:c>
      <x:c r="I2" s="11" t="n">
        <x:v>14800</x:v>
      </x:c>
      <x:c r="J2" s="11" t="n">
        <x:f>H2+I2</x:f>
        <x:v>33300</x:v>
      </x:c>
      <x:c r="K2" s="11" t="n">
        <x:v>1166</x:v>
      </x:c>
      <x:c r="L2" s="11" t="n">
        <x:v>400</x:v>
      </x:c>
      <x:c r="M2" s="11" t="n">
        <x:v>-0.25</x:v>
      </x:c>
      <x:c r="N2" s="11" t="n">
        <x:f>J2-K2+L2+M2</x:f>
        <x:v>32533.75</x:v>
      </x:c>
      <x:c r="O2" s="13" t="n">
        <x:v>124</x:v>
      </x:c>
      <x:c r="P2" s="13" t="n">
        <x:v>161</x:v>
      </x:c>
      <x:c r="Q2" s="11" t="n">
        <x:f>IF(P2=0,0,INT(N2/P2*100+0.5)/100)</x:f>
        <x:v>202.07</x:v>
      </x:c>
    </x:row>
    <x:row r="3" ht="21" customHeight="1">
      <x:c r="A3" s="3" t="str">
        <x:v>DS-W01-02</x:v>
      </x:c>
      <x:c r="B3" s="3" t="str">
        <x:v>ABNAH Cafe Connaught Place</x:v>
      </x:c>
      <x:c r="C3" s="9" t="n">
        <x:v>46210</x:v>
      </x:c>
      <x:c r="D3" s="3" t="str">
        <x:v>All Day</x:v>
      </x:c>
      <x:c r="E3" s="3" t="str">
        <x:v>00:00-23:59</x:v>
      </x:c>
      <x:c r="F3" s="3" t="str">
        <x:v>Dine-in + Delivery</x:v>
      </x:c>
      <x:c r="G3" s="11" t="n">
        <x:f>H3+I3</x:f>
        <x:v>34300</x:v>
      </x:c>
      <x:c r="H3" s="11" t="n">
        <x:v>19200</x:v>
      </x:c>
      <x:c r="I3" s="11" t="n">
        <x:v>15100</x:v>
      </x:c>
      <x:c r="J3" s="11" t="n">
        <x:f>H3+I3</x:f>
        <x:v>34300</x:v>
      </x:c>
      <x:c r="K3" s="11" t="n">
        <x:v>1201</x:v>
      </x:c>
      <x:c r="L3" s="11" t="n">
        <x:v>412</x:v>
      </x:c>
      <x:c r="M3" s="11" t="n">
        <x:v>0.25</x:v>
      </x:c>
      <x:c r="N3" s="11" t="n">
        <x:f>J3-K3+L3+M3</x:f>
        <x:v>33511.25</x:v>
      </x:c>
      <x:c r="O3" s="13" t="n">
        <x:v>128</x:v>
      </x:c>
      <x:c r="P3" s="13" t="n">
        <x:v>166</x:v>
      </x:c>
      <x:c r="Q3" s="11" t="n">
        <x:f>IF(P3=0,0,INT(N3/P3*100+0.5)/100)</x:f>
        <x:v>201.88</x:v>
      </x:c>
    </x:row>
    <x:row r="4" ht="21" customHeight="1">
      <x:c r="A4" s="3" t="str">
        <x:v>DS-W01-03</x:v>
      </x:c>
      <x:c r="B4" s="3" t="str">
        <x:v>ABNAH Cafe Connaught Place</x:v>
      </x:c>
      <x:c r="C4" s="9" t="n">
        <x:v>46211</x:v>
      </x:c>
      <x:c r="D4" s="3" t="str">
        <x:v>All Day</x:v>
      </x:c>
      <x:c r="E4" s="3" t="str">
        <x:v>00:00-23:59</x:v>
      </x:c>
      <x:c r="F4" s="3" t="str">
        <x:v>Dine-in + Delivery</x:v>
      </x:c>
      <x:c r="G4" s="11" t="n">
        <x:f>H4+I4</x:f>
        <x:v>35200</x:v>
      </x:c>
      <x:c r="H4" s="11" t="n">
        <x:v>19800</x:v>
      </x:c>
      <x:c r="I4" s="11" t="n">
        <x:v>15400</x:v>
      </x:c>
      <x:c r="J4" s="11" t="n">
        <x:f>H4+I4</x:f>
        <x:v>35200</x:v>
      </x:c>
      <x:c r="K4" s="11" t="n">
        <x:v>1232</x:v>
      </x:c>
      <x:c r="L4" s="11" t="n">
        <x:v>422</x:v>
      </x:c>
      <x:c r="M4" s="11" t="n">
        <x:v>-0.25</x:v>
      </x:c>
      <x:c r="N4" s="11" t="n">
        <x:f>J4-K4+L4+M4</x:f>
        <x:v>34389.75</x:v>
      </x:c>
      <x:c r="O4" s="13" t="n">
        <x:v>131</x:v>
      </x:c>
      <x:c r="P4" s="13" t="n">
        <x:v>170</x:v>
      </x:c>
      <x:c r="Q4" s="11" t="n">
        <x:f>IF(P4=0,0,INT(N4/P4*100+0.5)/100)</x:f>
        <x:v>202.29</x:v>
      </x:c>
    </x:row>
    <x:row r="5" ht="21" customHeight="1">
      <x:c r="A5" s="3" t="str">
        <x:v>DS-W01-04</x:v>
      </x:c>
      <x:c r="B5" s="3" t="str">
        <x:v>ABNAH Cafe Connaught Place</x:v>
      </x:c>
      <x:c r="C5" s="9" t="n">
        <x:v>46212</x:v>
      </x:c>
      <x:c r="D5" s="3" t="str">
        <x:v>All Day</x:v>
      </x:c>
      <x:c r="E5" s="3" t="str">
        <x:v>00:00-23:59</x:v>
      </x:c>
      <x:c r="F5" s="3" t="str">
        <x:v>Dine-in + Delivery</x:v>
      </x:c>
      <x:c r="G5" s="11" t="n">
        <x:f>H5+I5</x:f>
        <x:v>36500</x:v>
      </x:c>
      <x:c r="H5" s="11" t="n">
        <x:v>20500</x:v>
      </x:c>
      <x:c r="I5" s="11" t="n">
        <x:v>16000</x:v>
      </x:c>
      <x:c r="J5" s="11" t="n">
        <x:f>H5+I5</x:f>
        <x:v>36500</x:v>
      </x:c>
      <x:c r="K5" s="11" t="n">
        <x:v>1278</x:v>
      </x:c>
      <x:c r="L5" s="11" t="n">
        <x:v>438</x:v>
      </x:c>
      <x:c r="M5" s="11" t="n">
        <x:v>0.25</x:v>
      </x:c>
      <x:c r="N5" s="11" t="n">
        <x:f>J5-K5+L5+M5</x:f>
        <x:v>35660.25</x:v>
      </x:c>
      <x:c r="O5" s="13" t="n">
        <x:v>136</x:v>
      </x:c>
      <x:c r="P5" s="13" t="n">
        <x:v>177</x:v>
      </x:c>
      <x:c r="Q5" s="11" t="n">
        <x:f>IF(P5=0,0,INT(N5/P5*100+0.5)/100)</x:f>
        <x:v>201.47</x:v>
      </x:c>
    </x:row>
    <x:row r="6" ht="21" customHeight="1">
      <x:c r="A6" s="3" t="str">
        <x:v>DS-W01-05</x:v>
      </x:c>
      <x:c r="B6" s="3" t="str">
        <x:v>ABNAH Cafe Connaught Place</x:v>
      </x:c>
      <x:c r="C6" s="9" t="n">
        <x:v>46213</x:v>
      </x:c>
      <x:c r="D6" s="3" t="str">
        <x:v>All Day</x:v>
      </x:c>
      <x:c r="E6" s="3" t="str">
        <x:v>00:00-23:59</x:v>
      </x:c>
      <x:c r="F6" s="3" t="str">
        <x:v>Dine-in + Delivery</x:v>
      </x:c>
      <x:c r="G6" s="11" t="n">
        <x:f>H6+I6</x:f>
        <x:v>38900</x:v>
      </x:c>
      <x:c r="H6" s="11" t="n">
        <x:v>21800</x:v>
      </x:c>
      <x:c r="I6" s="11" t="n">
        <x:v>17100</x:v>
      </x:c>
      <x:c r="J6" s="11" t="n">
        <x:f>H6+I6</x:f>
        <x:v>38900</x:v>
      </x:c>
      <x:c r="K6" s="11" t="n">
        <x:v>1362</x:v>
      </x:c>
      <x:c r="L6" s="11" t="n">
        <x:v>467</x:v>
      </x:c>
      <x:c r="M6" s="11" t="n">
        <x:v>-0.25</x:v>
      </x:c>
      <x:c r="N6" s="11" t="n">
        <x:f>J6-K6+L6+M6</x:f>
        <x:v>38004.75</x:v>
      </x:c>
      <x:c r="O6" s="13" t="n">
        <x:v>145</x:v>
      </x:c>
      <x:c r="P6" s="13" t="n">
        <x:v>188</x:v>
      </x:c>
      <x:c r="Q6" s="11" t="n">
        <x:f>IF(P6=0,0,INT(N6/P6*100+0.5)/100)</x:f>
        <x:v>202.15</x:v>
      </x:c>
    </x:row>
    <x:row r="7" ht="21" customHeight="1">
      <x:c r="A7" s="3" t="str">
        <x:v>DS-W01-06</x:v>
      </x:c>
      <x:c r="B7" s="3" t="str">
        <x:v>ABNAH Cafe Connaught Place</x:v>
      </x:c>
      <x:c r="C7" s="9" t="n">
        <x:v>46214</x:v>
      </x:c>
      <x:c r="D7" s="3" t="str">
        <x:v>All Day</x:v>
      </x:c>
      <x:c r="E7" s="3" t="str">
        <x:v>00:00-23:59</x:v>
      </x:c>
      <x:c r="F7" s="3" t="str">
        <x:v>Dine-in + Delivery</x:v>
      </x:c>
      <x:c r="G7" s="11" t="n">
        <x:f>H7+I7</x:f>
        <x:v>47900</x:v>
      </x:c>
      <x:c r="H7" s="11" t="n">
        <x:v>26400</x:v>
      </x:c>
      <x:c r="I7" s="11" t="n">
        <x:v>21500</x:v>
      </x:c>
      <x:c r="J7" s="11" t="n">
        <x:f>H7+I7</x:f>
        <x:v>47900</x:v>
      </x:c>
      <x:c r="K7" s="11" t="n">
        <x:v>1677</x:v>
      </x:c>
      <x:c r="L7" s="11" t="n">
        <x:v>575</x:v>
      </x:c>
      <x:c r="M7" s="11" t="n">
        <x:v>0.25</x:v>
      </x:c>
      <x:c r="N7" s="11" t="n">
        <x:f>J7-K7+L7+M7</x:f>
        <x:v>46798.25</x:v>
      </x:c>
      <x:c r="O7" s="13" t="n">
        <x:v>176</x:v>
      </x:c>
      <x:c r="P7" s="13" t="n">
        <x:v>226</x:v>
      </x:c>
      <x:c r="Q7" s="11" t="n">
        <x:f>IF(P7=0,0,INT(N7/P7*100+0.5)/100)</x:f>
        <x:v>207.07</x:v>
      </x:c>
    </x:row>
    <x:row r="8" ht="21" customHeight="1">
      <x:c r="A8" s="3" t="str">
        <x:v>DS-W01-07</x:v>
      </x:c>
      <x:c r="B8" s="3" t="str">
        <x:v>ABNAH Cafe Connaught Place</x:v>
      </x:c>
      <x:c r="C8" s="9" t="n">
        <x:v>46215</x:v>
      </x:c>
      <x:c r="D8" s="3" t="str">
        <x:v>All Day</x:v>
      </x:c>
      <x:c r="E8" s="3" t="str">
        <x:v>00:00-23:59</x:v>
      </x:c>
      <x:c r="F8" s="3" t="str">
        <x:v>Dine-in + Delivery</x:v>
      </x:c>
      <x:c r="G8" s="11" t="n">
        <x:f>H8+I8</x:f>
        <x:v>50800</x:v>
      </x:c>
      <x:c r="H8" s="11" t="n">
        <x:v>27900</x:v>
      </x:c>
      <x:c r="I8" s="11" t="n">
        <x:v>22900</x:v>
      </x:c>
      <x:c r="J8" s="11" t="n">
        <x:f>H8+I8</x:f>
        <x:v>50800</x:v>
      </x:c>
      <x:c r="K8" s="11" t="n">
        <x:v>1778</x:v>
      </x:c>
      <x:c r="L8" s="11" t="n">
        <x:v>610</x:v>
      </x:c>
      <x:c r="M8" s="11" t="n">
        <x:v>-0.25</x:v>
      </x:c>
      <x:c r="N8" s="11" t="n">
        <x:f>J8-K8+L8+M8</x:f>
        <x:v>49631.75</x:v>
      </x:c>
      <x:c r="O8" s="13" t="n">
        <x:v>189</x:v>
      </x:c>
      <x:c r="P8" s="13" t="n">
        <x:v>242</x:v>
      </x:c>
      <x:c r="Q8" s="11" t="n">
        <x:f>IF(P8=0,0,INT(N8/P8*100+0.5)/100)</x:f>
        <x:v>205.09</x:v>
      </x:c>
    </x:row>
  </x:sheetData>
  <x:pageMargins left="0.7" right="0.7" top="0.75" bottom="0.75" header="0.3" footer="0.3"/>
  <x:tableParts count="1">
    <x:tablePart xmlns:r="http://schemas.openxmlformats.org/officeDocument/2006/relationships" r:id="R36937519ae1c46c2"/>
  </x:tableParts>
</x:worksheet>
</file>