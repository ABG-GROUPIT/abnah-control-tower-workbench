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1aea0d4ff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d0d34b72f02f461a"/>
    <x:sheet xmlns:r="http://schemas.openxmlformats.org/officeDocument/2006/relationships" name="Closing Stock" sheetId="2" r:id="Ra0a932d70d0e463d"/>
    <x:sheet xmlns:r="http://schemas.openxmlformats.org/officeDocument/2006/relationships" name="Daily Sales" sheetId="3" r:id="R9d3e3f1b2b5d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f427e71504a8d" /><Relationship Type="http://schemas.openxmlformats.org/officeDocument/2006/relationships/theme" Target="/xl/theme/theme1.xml" Id="R49f436dc9c2341cd" /><Relationship Type="http://schemas.openxmlformats.org/officeDocument/2006/relationships/sharedStrings" Target="/xl/sharedStrings.xml" Id="R735c683fc45f4929" /><Relationship Type="http://schemas.openxmlformats.org/officeDocument/2006/relationships/worksheet" Target="/xl/worksheets/sheet1.xml" Id="Rd0d34b72f02f461a" /><Relationship Type="http://schemas.openxmlformats.org/officeDocument/2006/relationships/worksheet" Target="/xl/worksheets/sheet2.xml" Id="Ra0a932d70d0e463d" /><Relationship Type="http://schemas.openxmlformats.org/officeDocument/2006/relationships/worksheet" Target="/xl/worksheets/sheet3.xml" Id="R9d3e3f1b2b5d41e2" /></Relationships>
</file>

<file path=xl/tables/table1.xml><?xml version="1.0" encoding="utf-8"?>
<x:table xmlns:x="http://schemas.openxmlformats.org/spreadsheetml/2006/main" id="1" name="Entry_Current_W1_W1" displayName="Entry_Current_W1_W1" ref="A1:AH7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Current_W1_W1" displayName="Closing_Current_W1_W1" ref="A1:O6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Current_W1_W1" displayName="DailySales_Current_W1_W1" ref="A1:Q8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739912708c4c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3417369fc8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50d0a8a01f43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46209</x:v>
      </x:c>
      <x:c r="F2" s="3" t="str">
        <x:v>GRN-W0101</x:v>
      </x:c>
      <x:c r="G2" s="3" t="str">
        <x:v>INV-W0101</x:v>
      </x:c>
      <x:c r="H2" s="3" t="str">
        <x:v>BATCH-W0101</x:v>
      </x:c>
      <x:c r="I2" s="3" t="str">
        <x:v>PR-W0101</x:v>
      </x:c>
      <x:c r="J2" s="3" t="str">
        <x:v>PO-W0101</x:v>
      </x:c>
      <x:c r="K2" s="9" t="n">
        <x:v>46209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1 receipt</x:v>
      </x:c>
      <x:c r="R2" s="10" t="n">
        <x:v>60</x:v>
      </x:c>
      <x:c r="S2" s="3" t="str">
        <x:v>LTR</x:v>
      </x:c>
      <x:c r="T2" s="11" t="n">
        <x:v>61.6</x:v>
      </x:c>
      <x:c r="U2" s="11" t="n">
        <x:v>56</x:v>
      </x:c>
      <x:c r="V2" s="3" t="str"/>
      <x:c r="W2" s="11" t="n">
        <x:f>INT(R2*U2*100+0.5)/100</x:f>
        <x:v>3360</x:v>
      </x:c>
      <x:c r="X2" s="11" t="n">
        <x:v>0</x:v>
      </x:c>
      <x:c r="Y2" s="12" t="n">
        <x:v>5</x:v>
      </x:c>
      <x:c r="Z2" s="11" t="n">
        <x:f>INT(W2*Y2+0.5)/100</x:f>
        <x:v>168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168</x:v>
      </x:c>
      <x:c r="AF2" s="11" t="n">
        <x:v>0</x:v>
      </x:c>
      <x:c r="AG2" s="11" t="n">
        <x:f>INT((W2-X2+AE2+AF2)*100+0.5)/100</x:f>
        <x:v>3528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46210</x:v>
      </x:c>
      <x:c r="F3" s="3" t="str">
        <x:v>GRN-W0102</x:v>
      </x:c>
      <x:c r="G3" s="3" t="str">
        <x:v>INV-W0102</x:v>
      </x:c>
      <x:c r="H3" s="3" t="str">
        <x:v>BATCH-W0102</x:v>
      </x:c>
      <x:c r="I3" s="3" t="str">
        <x:v>PR-W0102</x:v>
      </x:c>
      <x:c r="J3" s="3" t="str">
        <x:v>PO-W0102</x:v>
      </x:c>
      <x:c r="K3" s="9" t="n">
        <x:v>46210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1 receipt</x:v>
      </x:c>
      <x:c r="R3" s="10" t="n">
        <x:v>25</x:v>
      </x:c>
      <x:c r="S3" s="3" t="str">
        <x:v>KG</x:v>
      </x:c>
      <x:c r="T3" s="11" t="n">
        <x:v>792</x:v>
      </x:c>
      <x:c r="U3" s="11" t="n">
        <x:v>720</x:v>
      </x:c>
      <x:c r="V3" s="3" t="str"/>
      <x:c r="W3" s="11" t="n">
        <x:f>INT(R3*U3*100+0.5)/100</x:f>
        <x:v>18000</x:v>
      </x:c>
      <x:c r="X3" s="11" t="n">
        <x:v>0</x:v>
      </x:c>
      <x:c r="Y3" s="12" t="n">
        <x:v>5</x:v>
      </x:c>
      <x:c r="Z3" s="11" t="n">
        <x:f>INT(W3*Y3+0.5)/100</x:f>
        <x:v>900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900</x:v>
      </x:c>
      <x:c r="AF3" s="11" t="n">
        <x:v>0</x:v>
      </x:c>
      <x:c r="AG3" s="11" t="n">
        <x:f>INT((W3-X3+AE3+AF3)*100+0.5)/100</x:f>
        <x:v>18900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46211</x:v>
      </x:c>
      <x:c r="F4" s="3" t="str">
        <x:v>GRN-W0103</x:v>
      </x:c>
      <x:c r="G4" s="3" t="str">
        <x:v>INV-W0103</x:v>
      </x:c>
      <x:c r="H4" s="3" t="str">
        <x:v>BATCH-W0103</x:v>
      </x:c>
      <x:c r="I4" s="3" t="str">
        <x:v>PR-W0103</x:v>
      </x:c>
      <x:c r="J4" s="3" t="str">
        <x:v>PO-W0103</x:v>
      </x:c>
      <x:c r="K4" s="9" t="n">
        <x:v>46211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1 receipt</x:v>
      </x:c>
      <x:c r="R4" s="10" t="n">
        <x:v>40</x:v>
      </x:c>
      <x:c r="S4" s="3" t="str">
        <x:v>KG</x:v>
      </x:c>
      <x:c r="T4" s="11" t="n">
        <x:v>48.4</x:v>
      </x:c>
      <x:c r="U4" s="11" t="n">
        <x:v>44</x:v>
      </x:c>
      <x:c r="V4" s="3" t="str"/>
      <x:c r="W4" s="11" t="n">
        <x:f>INT(R4*U4*100+0.5)/100</x:f>
        <x:v>1760</x:v>
      </x:c>
      <x:c r="X4" s="11" t="n">
        <x:v>0</x:v>
      </x:c>
      <x:c r="Y4" s="12" t="n">
        <x:v>5</x:v>
      </x:c>
      <x:c r="Z4" s="11" t="n">
        <x:f>INT(W4*Y4+0.5)/100</x:f>
        <x:v>88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88</x:v>
      </x:c>
      <x:c r="AF4" s="11" t="n">
        <x:v>0</x:v>
      </x:c>
      <x:c r="AG4" s="11" t="n">
        <x:f>INT((W4-X4+AE4+AF4)*100+0.5)/100</x:f>
        <x:v>1848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46212</x:v>
      </x:c>
      <x:c r="F5" s="3" t="str">
        <x:v>GRN-W0104</x:v>
      </x:c>
      <x:c r="G5" s="3" t="str">
        <x:v>INV-W0104</x:v>
      </x:c>
      <x:c r="H5" s="3" t="str">
        <x:v>BATCH-W0104</x:v>
      </x:c>
      <x:c r="I5" s="3" t="str">
        <x:v>PR-W0104</x:v>
      </x:c>
      <x:c r="J5" s="3" t="str">
        <x:v>PO-W0104</x:v>
      </x:c>
      <x:c r="K5" s="9" t="n">
        <x:v>46212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1 receipt</x:v>
      </x:c>
      <x:c r="R5" s="10" t="n">
        <x:v>30</x:v>
      </x:c>
      <x:c r="S5" s="3" t="str">
        <x:v>KG</x:v>
      </x:c>
      <x:c r="T5" s="11" t="n">
        <x:v>198</x:v>
      </x:c>
      <x:c r="U5" s="11" t="n">
        <x:v>180</x:v>
      </x:c>
      <x:c r="V5" s="3" t="str"/>
      <x:c r="W5" s="11" t="n">
        <x:f>INT(R5*U5*100+0.5)/100</x:f>
        <x:v>5400</x:v>
      </x:c>
      <x:c r="X5" s="11" t="n">
        <x:v>0</x:v>
      </x:c>
      <x:c r="Y5" s="12" t="n">
        <x:v>18</x:v>
      </x:c>
      <x:c r="Z5" s="11" t="n">
        <x:f>INT(W5*Y5+0.5)/100</x:f>
        <x:v>972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972</x:v>
      </x:c>
      <x:c r="AF5" s="11" t="n">
        <x:v>0</x:v>
      </x:c>
      <x:c r="AG5" s="11" t="n">
        <x:f>INT((W5-X5+AE5+AF5)*100+0.5)/100</x:f>
        <x:v>6372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46213</x:v>
      </x:c>
      <x:c r="F6" s="3" t="str">
        <x:v>GRN-W0105</x:v>
      </x:c>
      <x:c r="G6" s="3" t="str">
        <x:v>INV-W0105</x:v>
      </x:c>
      <x:c r="H6" s="3" t="str">
        <x:v>BATCH-W0105</x:v>
      </x:c>
      <x:c r="I6" s="3" t="str">
        <x:v>PR-W0105</x:v>
      </x:c>
      <x:c r="J6" s="3" t="str">
        <x:v>PO-W0105</x:v>
      </x:c>
      <x:c r="K6" s="9" t="n">
        <x:v>46213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1 receipt</x:v>
      </x:c>
      <x:c r="R6" s="10" t="n">
        <x:v>600</x:v>
      </x:c>
      <x:c r="S6" s="3" t="str">
        <x:v>PCS</x:v>
      </x:c>
      <x:c r="T6" s="11" t="n">
        <x:v>3.52</x:v>
      </x:c>
      <x:c r="U6" s="11" t="n">
        <x:v>3.2</x:v>
      </x:c>
      <x:c r="V6" s="3" t="str"/>
      <x:c r="W6" s="11" t="n">
        <x:f>INT(R6*U6*100+0.5)/100</x:f>
        <x:v>1920</x:v>
      </x:c>
      <x:c r="X6" s="11" t="n">
        <x:v>0</x:v>
      </x:c>
      <x:c r="Y6" s="12" t="n">
        <x:v>18</x:v>
      </x:c>
      <x:c r="Z6" s="11" t="n">
        <x:f>INT(W6*Y6+0.5)/100</x:f>
        <x:v>345.6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345.6</x:v>
      </x:c>
      <x:c r="AF6" s="11" t="n">
        <x:v>0</x:v>
      </x:c>
      <x:c r="AG6" s="11" t="n">
        <x:f>INT((W6-X6+AE6+AF6)*100+0.5)/100</x:f>
        <x:v>2265.6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46214</x:v>
      </x:c>
      <x:c r="F7" s="3" t="str">
        <x:v>GRN-W0106</x:v>
      </x:c>
      <x:c r="G7" s="3" t="str">
        <x:v>INV-W0106</x:v>
      </x:c>
      <x:c r="H7" s="3" t="str">
        <x:v>BATCH-W0106</x:v>
      </x:c>
      <x:c r="I7" s="3" t="str">
        <x:v>PR-W0106</x:v>
      </x:c>
      <x:c r="J7" s="3" t="str">
        <x:v>PO-W0106</x:v>
      </x:c>
      <x:c r="K7" s="9" t="n">
        <x:v>46214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1 receipt</x:v>
      </x:c>
      <x:c r="R7" s="10" t="n">
        <x:v>45</x:v>
      </x:c>
      <x:c r="S7" s="3" t="str">
        <x:v>LTR</x:v>
      </x:c>
      <x:c r="T7" s="11" t="n">
        <x:v>62.7</x:v>
      </x:c>
      <x:c r="U7" s="11" t="n">
        <x:v>57</x:v>
      </x:c>
      <x:c r="V7" s="3" t="str"/>
      <x:c r="W7" s="11" t="n">
        <x:f>INT(R7*U7*100+0.5)/100</x:f>
        <x:v>2565</x:v>
      </x:c>
      <x:c r="X7" s="11" t="n">
        <x:v>0</x:v>
      </x:c>
      <x:c r="Y7" s="12" t="n">
        <x:v>5</x:v>
      </x:c>
      <x:c r="Z7" s="11" t="n">
        <x:f>INT(W7*Y7+0.5)/100</x:f>
        <x:v>128.25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128.25</x:v>
      </x:c>
      <x:c r="AF7" s="11" t="n">
        <x:v>0</x:v>
      </x:c>
      <x:c r="AG7" s="11" t="n">
        <x:f>INT((W7-X7+AE7+AF7)*100+0.5)/100</x:f>
        <x:v>2693.25</x:v>
      </x:c>
      <x:c r="AH7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2f739912708c4c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46215</x:v>
      </x:c>
      <x:c r="C2" s="9" t="n">
        <x:v>46215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56.43</x:v>
      </x:c>
      <x:c r="M2" s="10" t="n">
        <x:v>28</x:v>
      </x:c>
      <x:c r="N2" s="10" t="n">
        <x:f>M2</x:f>
        <x:v>28</x:v>
      </x:c>
      <x:c r="O2" s="11" t="n">
        <x:f>INT(L2*N2*100+0.5)/100</x:f>
        <x:v>1580.04</x:v>
      </x:c>
    </x:row>
    <x:row r="3" ht="21" customHeight="1">
      <x:c r="A3" s="3" t="str">
        <x:v>ABNAH Cafe Connaught Place</x:v>
      </x:c>
      <x:c r="B3" s="9" t="n">
        <x:v>46215</x:v>
      </x:c>
      <x:c r="C3" s="9" t="n">
        <x:v>46215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720</x:v>
      </x:c>
      <x:c r="M3" s="10" t="n">
        <x:v>14</x:v>
      </x:c>
      <x:c r="N3" s="10" t="n">
        <x:f>M3</x:f>
        <x:v>14</x:v>
      </x:c>
      <x:c r="O3" s="11" t="n">
        <x:f>INT(L3*N3*100+0.5)/100</x:f>
        <x:v>10080</x:v>
      </x:c>
    </x:row>
    <x:row r="4" ht="21" customHeight="1">
      <x:c r="A4" s="3" t="str">
        <x:v>ABNAH Cafe Connaught Place</x:v>
      </x:c>
      <x:c r="B4" s="9" t="n">
        <x:v>46215</x:v>
      </x:c>
      <x:c r="C4" s="9" t="n">
        <x:v>46215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</x:v>
      </x:c>
      <x:c r="M4" s="10" t="n">
        <x:v>35</x:v>
      </x:c>
      <x:c r="N4" s="10" t="n">
        <x:f>M4</x:f>
        <x:v>35</x:v>
      </x:c>
      <x:c r="O4" s="11" t="n">
        <x:f>INT(L4*N4*100+0.5)/100</x:f>
        <x:v>1540</x:v>
      </x:c>
    </x:row>
    <x:row r="5" ht="21" customHeight="1">
      <x:c r="A5" s="3" t="str">
        <x:v>ABNAH Cafe Connaught Place</x:v>
      </x:c>
      <x:c r="B5" s="9" t="n">
        <x:v>46215</x:v>
      </x:c>
      <x:c r="C5" s="9" t="n">
        <x:v>46215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180</x:v>
      </x:c>
      <x:c r="M5" s="10" t="n">
        <x:v>12</x:v>
      </x:c>
      <x:c r="N5" s="10" t="n">
        <x:f>M5</x:f>
        <x:v>12</x:v>
      </x:c>
      <x:c r="O5" s="11" t="n">
        <x:f>INT(L5*N5*100+0.5)/100</x:f>
        <x:v>2160</x:v>
      </x:c>
    </x:row>
    <x:row r="6" ht="21" customHeight="1">
      <x:c r="A6" s="3" t="str">
        <x:v>ABNAH Cafe Connaught Place</x:v>
      </x:c>
      <x:c r="B6" s="9" t="n">
        <x:v>46215</x:v>
      </x:c>
      <x:c r="C6" s="9" t="n">
        <x:v>46215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3.2</x:v>
      </x:c>
      <x:c r="M6" s="10" t="n">
        <x:v>380</x:v>
      </x:c>
      <x:c r="N6" s="10" t="n">
        <x:f>M6</x:f>
        <x:v>380</x:v>
      </x:c>
      <x:c r="O6" s="11" t="n">
        <x:f>INT(L6*N6*100+0.5)/100</x:f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233417369fc84b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DS-W01-01</x:v>
      </x:c>
      <x:c r="B2" s="3" t="str">
        <x:v>ABNAH Cafe Connaught Place</x:v>
      </x:c>
      <x:c r="C2" s="9" t="n">
        <x:v>46209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33300</x:v>
      </x:c>
      <x:c r="H2" s="11" t="n">
        <x:v>18500</x:v>
      </x:c>
      <x:c r="I2" s="11" t="n">
        <x:v>14800</x:v>
      </x:c>
      <x:c r="J2" s="11" t="n">
        <x:f>H2+I2</x:f>
        <x:v>33300</x:v>
      </x:c>
      <x:c r="K2" s="11" t="n">
        <x:v>1166</x:v>
      </x:c>
      <x:c r="L2" s="11" t="n">
        <x:v>400</x:v>
      </x:c>
      <x:c r="M2" s="11" t="n">
        <x:v>-0.25</x:v>
      </x:c>
      <x:c r="N2" s="11" t="n">
        <x:f>J2-K2+L2+M2</x:f>
        <x:v>32533.75</x:v>
      </x:c>
      <x:c r="O2" s="13" t="n">
        <x:v>124</x:v>
      </x:c>
      <x:c r="P2" s="13" t="n">
        <x:v>161</x:v>
      </x:c>
      <x:c r="Q2" s="11" t="n">
        <x:f>IF(P2=0,0,INT(N2/P2*100+0.5)/100)</x:f>
        <x:v>202.07</x:v>
      </x:c>
    </x:row>
    <x:row r="3" ht="21" customHeight="1">
      <x:c r="A3" s="3" t="str">
        <x:v>DS-W01-02</x:v>
      </x:c>
      <x:c r="B3" s="3" t="str">
        <x:v>ABNAH Cafe Connaught Place</x:v>
      </x:c>
      <x:c r="C3" s="9" t="n">
        <x:v>46210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34300</x:v>
      </x:c>
      <x:c r="H3" s="11" t="n">
        <x:v>19200</x:v>
      </x:c>
      <x:c r="I3" s="11" t="n">
        <x:v>15100</x:v>
      </x:c>
      <x:c r="J3" s="11" t="n">
        <x:f>H3+I3</x:f>
        <x:v>34300</x:v>
      </x:c>
      <x:c r="K3" s="11" t="n">
        <x:v>1201</x:v>
      </x:c>
      <x:c r="L3" s="11" t="n">
        <x:v>412</x:v>
      </x:c>
      <x:c r="M3" s="11" t="n">
        <x:v>0.25</x:v>
      </x:c>
      <x:c r="N3" s="11" t="n">
        <x:f>J3-K3+L3+M3</x:f>
        <x:v>33511.25</x:v>
      </x:c>
      <x:c r="O3" s="13" t="n">
        <x:v>128</x:v>
      </x:c>
      <x:c r="P3" s="13" t="n">
        <x:v>166</x:v>
      </x:c>
      <x:c r="Q3" s="11" t="n">
        <x:f>IF(P3=0,0,INT(N3/P3*100+0.5)/100)</x:f>
        <x:v>201.88</x:v>
      </x:c>
    </x:row>
    <x:row r="4" ht="21" customHeight="1">
      <x:c r="A4" s="3" t="str">
        <x:v>DS-W01-03</x:v>
      </x:c>
      <x:c r="B4" s="3" t="str">
        <x:v>ABNAH Cafe Connaught Place</x:v>
      </x:c>
      <x:c r="C4" s="9" t="n">
        <x:v>46211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35200</x:v>
      </x:c>
      <x:c r="H4" s="11" t="n">
        <x:v>19800</x:v>
      </x:c>
      <x:c r="I4" s="11" t="n">
        <x:v>15400</x:v>
      </x:c>
      <x:c r="J4" s="11" t="n">
        <x:f>H4+I4</x:f>
        <x:v>35200</x:v>
      </x:c>
      <x:c r="K4" s="11" t="n">
        <x:v>1232</x:v>
      </x:c>
      <x:c r="L4" s="11" t="n">
        <x:v>422</x:v>
      </x:c>
      <x:c r="M4" s="11" t="n">
        <x:v>-0.25</x:v>
      </x:c>
      <x:c r="N4" s="11" t="n">
        <x:f>J4-K4+L4+M4</x:f>
        <x:v>34389.75</x:v>
      </x:c>
      <x:c r="O4" s="13" t="n">
        <x:v>131</x:v>
      </x:c>
      <x:c r="P4" s="13" t="n">
        <x:v>170</x:v>
      </x:c>
      <x:c r="Q4" s="11" t="n">
        <x:f>IF(P4=0,0,INT(N4/P4*100+0.5)/100)</x:f>
        <x:v>202.29</x:v>
      </x:c>
    </x:row>
    <x:row r="5" ht="21" customHeight="1">
      <x:c r="A5" s="3" t="str">
        <x:v>DS-W01-04</x:v>
      </x:c>
      <x:c r="B5" s="3" t="str">
        <x:v>ABNAH Cafe Connaught Place</x:v>
      </x:c>
      <x:c r="C5" s="9" t="n">
        <x:v>46212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36500</x:v>
      </x:c>
      <x:c r="H5" s="11" t="n">
        <x:v>20500</x:v>
      </x:c>
      <x:c r="I5" s="11" t="n">
        <x:v>16000</x:v>
      </x:c>
      <x:c r="J5" s="11" t="n">
        <x:f>H5+I5</x:f>
        <x:v>36500</x:v>
      </x:c>
      <x:c r="K5" s="11" t="n">
        <x:v>1278</x:v>
      </x:c>
      <x:c r="L5" s="11" t="n">
        <x:v>438</x:v>
      </x:c>
      <x:c r="M5" s="11" t="n">
        <x:v>0.25</x:v>
      </x:c>
      <x:c r="N5" s="11" t="n">
        <x:f>J5-K5+L5+M5</x:f>
        <x:v>35660.25</x:v>
      </x:c>
      <x:c r="O5" s="13" t="n">
        <x:v>136</x:v>
      </x:c>
      <x:c r="P5" s="13" t="n">
        <x:v>177</x:v>
      </x:c>
      <x:c r="Q5" s="11" t="n">
        <x:f>IF(P5=0,0,INT(N5/P5*100+0.5)/100)</x:f>
        <x:v>201.47</x:v>
      </x:c>
    </x:row>
    <x:row r="6" ht="21" customHeight="1">
      <x:c r="A6" s="3" t="str">
        <x:v>DS-W01-05</x:v>
      </x:c>
      <x:c r="B6" s="3" t="str">
        <x:v>ABNAH Cafe Connaught Place</x:v>
      </x:c>
      <x:c r="C6" s="9" t="n">
        <x:v>46213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38900</x:v>
      </x:c>
      <x:c r="H6" s="11" t="n">
        <x:v>21800</x:v>
      </x:c>
      <x:c r="I6" s="11" t="n">
        <x:v>17100</x:v>
      </x:c>
      <x:c r="J6" s="11" t="n">
        <x:f>H6+I6</x:f>
        <x:v>38900</x:v>
      </x:c>
      <x:c r="K6" s="11" t="n">
        <x:v>1362</x:v>
      </x:c>
      <x:c r="L6" s="11" t="n">
        <x:v>467</x:v>
      </x:c>
      <x:c r="M6" s="11" t="n">
        <x:v>-0.25</x:v>
      </x:c>
      <x:c r="N6" s="11" t="n">
        <x:f>J6-K6+L6+M6</x:f>
        <x:v>38004.75</x:v>
      </x:c>
      <x:c r="O6" s="13" t="n">
        <x:v>145</x:v>
      </x:c>
      <x:c r="P6" s="13" t="n">
        <x:v>188</x:v>
      </x:c>
      <x:c r="Q6" s="11" t="n">
        <x:f>IF(P6=0,0,INT(N6/P6*100+0.5)/100)</x:f>
        <x:v>202.15</x:v>
      </x:c>
    </x:row>
    <x:row r="7" ht="21" customHeight="1">
      <x:c r="A7" s="3" t="str">
        <x:v>DS-W01-06</x:v>
      </x:c>
      <x:c r="B7" s="3" t="str">
        <x:v>ABNAH Cafe Connaught Place</x:v>
      </x:c>
      <x:c r="C7" s="9" t="n">
        <x:v>46214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47900</x:v>
      </x:c>
      <x:c r="H7" s="11" t="n">
        <x:v>26400</x:v>
      </x:c>
      <x:c r="I7" s="11" t="n">
        <x:v>21500</x:v>
      </x:c>
      <x:c r="J7" s="11" t="n">
        <x:f>H7+I7</x:f>
        <x:v>47900</x:v>
      </x:c>
      <x:c r="K7" s="11" t="n">
        <x:v>1677</x:v>
      </x:c>
      <x:c r="L7" s="11" t="n">
        <x:v>575</x:v>
      </x:c>
      <x:c r="M7" s="11" t="n">
        <x:v>0.25</x:v>
      </x:c>
      <x:c r="N7" s="11" t="n">
        <x:f>J7-K7+L7+M7</x:f>
        <x:v>46798.25</x:v>
      </x:c>
      <x:c r="O7" s="13" t="n">
        <x:v>176</x:v>
      </x:c>
      <x:c r="P7" s="13" t="n">
        <x:v>226</x:v>
      </x:c>
      <x:c r="Q7" s="11" t="n">
        <x:f>IF(P7=0,0,INT(N7/P7*100+0.5)/100)</x:f>
        <x:v>207.07</x:v>
      </x:c>
    </x:row>
    <x:row r="8" ht="21" customHeight="1">
      <x:c r="A8" s="3" t="str">
        <x:v>DS-W01-07</x:v>
      </x:c>
      <x:c r="B8" s="3" t="str">
        <x:v>ABNAH Cafe Connaught Place</x:v>
      </x:c>
      <x:c r="C8" s="9" t="n">
        <x:v>46215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50800</x:v>
      </x:c>
      <x:c r="H8" s="11" t="n">
        <x:v>27900</x:v>
      </x:c>
      <x:c r="I8" s="11" t="n">
        <x:v>22900</x:v>
      </x:c>
      <x:c r="J8" s="11" t="n">
        <x:f>H8+I8</x:f>
        <x:v>50800</x:v>
      </x:c>
      <x:c r="K8" s="11" t="n">
        <x:v>1778</x:v>
      </x:c>
      <x:c r="L8" s="11" t="n">
        <x:v>610</x:v>
      </x:c>
      <x:c r="M8" s="11" t="n">
        <x:v>-0.25</x:v>
      </x:c>
      <x:c r="N8" s="11" t="n">
        <x:f>J8-K8+L8+M8</x:f>
        <x:v>49631.75</x:v>
      </x:c>
      <x:c r="O8" s="13" t="n">
        <x:v>189</x:v>
      </x:c>
      <x:c r="P8" s="13" t="n">
        <x:v>242</x:v>
      </x:c>
      <x:c r="Q8" s="11" t="n">
        <x:f>IF(P8=0,0,INT(N8/P8*100+0.5)/100)</x:f>
        <x:v>205.09</x:v>
      </x:c>
    </x:row>
  </x:sheetData>
  <x:pageMargins left="0.7" right="0.7" top="0.75" bottom="0.75" header="0.3" footer="0.3"/>
  <x:tableParts count="1">
    <x:tablePart xmlns:r="http://schemas.openxmlformats.org/officeDocument/2006/relationships" r:id="Re050d0a8a01f43b6"/>
  </x:tableParts>
</x:worksheet>
</file>