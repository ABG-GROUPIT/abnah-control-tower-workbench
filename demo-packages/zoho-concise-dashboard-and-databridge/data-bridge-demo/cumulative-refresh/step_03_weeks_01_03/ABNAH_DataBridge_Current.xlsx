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7fff8f949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190a716c00384b8e"/>
    <x:sheet xmlns:r="http://schemas.openxmlformats.org/officeDocument/2006/relationships" name="Closing Stock" sheetId="2" r:id="R9d4fe0a2dc794428"/>
    <x:sheet xmlns:r="http://schemas.openxmlformats.org/officeDocument/2006/relationships" name="Daily Sales" sheetId="3" r:id="R95ff222cb199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e7acbfbef4ffb" /><Relationship Type="http://schemas.openxmlformats.org/officeDocument/2006/relationships/theme" Target="/xl/theme/theme1.xml" Id="R9ae91495224c4f8c" /><Relationship Type="http://schemas.openxmlformats.org/officeDocument/2006/relationships/sharedStrings" Target="/xl/sharedStrings.xml" Id="R2b7f0517a11d4ce9" /><Relationship Type="http://schemas.openxmlformats.org/officeDocument/2006/relationships/worksheet" Target="/xl/worksheets/sheet1.xml" Id="R190a716c00384b8e" /><Relationship Type="http://schemas.openxmlformats.org/officeDocument/2006/relationships/worksheet" Target="/xl/worksheets/sheet2.xml" Id="R9d4fe0a2dc794428" /><Relationship Type="http://schemas.openxmlformats.org/officeDocument/2006/relationships/worksheet" Target="/xl/worksheets/sheet3.xml" Id="R95ff222cb19948b8" /></Relationships>
</file>

<file path=xl/tables/table1.xml><?xml version="1.0" encoding="utf-8"?>
<x:table xmlns:x="http://schemas.openxmlformats.org/spreadsheetml/2006/main" id="1" name="Entry_Current_W1_W3" displayName="Entry_Current_W1_W3" ref="A1:AH19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Current_W1_W3" displayName="Closing_Current_W1_W3" ref="A1:O1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Current_W1_W3" displayName="DailySales_Current_W1_W3" ref="A1:Q22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4efb72438f4a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879f2975a46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9412f2ec7245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46209</x:v>
      </x:c>
      <x:c r="F2" s="3" t="str">
        <x:v>GRN-W0101</x:v>
      </x:c>
      <x:c r="G2" s="3" t="str">
        <x:v>INV-W0101</x:v>
      </x:c>
      <x:c r="H2" s="3" t="str">
        <x:v>BATCH-W0101</x:v>
      </x:c>
      <x:c r="I2" s="3" t="str">
        <x:v>PR-W0101</x:v>
      </x:c>
      <x:c r="J2" s="3" t="str">
        <x:v>PO-W0101</x:v>
      </x:c>
      <x:c r="K2" s="9" t="n">
        <x:v>46209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1 receipt</x:v>
      </x:c>
      <x:c r="R2" s="10" t="n">
        <x:v>60</x:v>
      </x:c>
      <x:c r="S2" s="3" t="str">
        <x:v>LTR</x:v>
      </x:c>
      <x:c r="T2" s="11" t="n">
        <x:v>61.6</x:v>
      </x:c>
      <x:c r="U2" s="11" t="n">
        <x:v>56</x:v>
      </x:c>
      <x:c r="V2" s="3" t="str"/>
      <x:c r="W2" s="11" t="n">
        <x:f>INT(R2*U2*100+0.5)/100</x:f>
        <x:v>3360</x:v>
      </x:c>
      <x:c r="X2" s="11" t="n">
        <x:v>0</x:v>
      </x:c>
      <x:c r="Y2" s="12" t="n">
        <x:v>5</x:v>
      </x:c>
      <x:c r="Z2" s="11" t="n">
        <x:f>INT(W2*Y2+0.5)/100</x:f>
        <x:v>168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168</x:v>
      </x:c>
      <x:c r="AF2" s="11" t="n">
        <x:v>0</x:v>
      </x:c>
      <x:c r="AG2" s="11" t="n">
        <x:f>INT((W2-X2+AE2+AF2)*100+0.5)/100</x:f>
        <x:v>3528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46210</x:v>
      </x:c>
      <x:c r="F3" s="3" t="str">
        <x:v>GRN-W0102</x:v>
      </x:c>
      <x:c r="G3" s="3" t="str">
        <x:v>INV-W0102</x:v>
      </x:c>
      <x:c r="H3" s="3" t="str">
        <x:v>BATCH-W0102</x:v>
      </x:c>
      <x:c r="I3" s="3" t="str">
        <x:v>PR-W0102</x:v>
      </x:c>
      <x:c r="J3" s="3" t="str">
        <x:v>PO-W0102</x:v>
      </x:c>
      <x:c r="K3" s="9" t="n">
        <x:v>46210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1 receipt</x:v>
      </x:c>
      <x:c r="R3" s="10" t="n">
        <x:v>25</x:v>
      </x:c>
      <x:c r="S3" s="3" t="str">
        <x:v>KG</x:v>
      </x:c>
      <x:c r="T3" s="11" t="n">
        <x:v>792</x:v>
      </x:c>
      <x:c r="U3" s="11" t="n">
        <x:v>720</x:v>
      </x:c>
      <x:c r="V3" s="3" t="str"/>
      <x:c r="W3" s="11" t="n">
        <x:f>INT(R3*U3*100+0.5)/100</x:f>
        <x:v>18000</x:v>
      </x:c>
      <x:c r="X3" s="11" t="n">
        <x:v>0</x:v>
      </x:c>
      <x:c r="Y3" s="12" t="n">
        <x:v>5</x:v>
      </x:c>
      <x:c r="Z3" s="11" t="n">
        <x:f>INT(W3*Y3+0.5)/100</x:f>
        <x:v>900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900</x:v>
      </x:c>
      <x:c r="AF3" s="11" t="n">
        <x:v>0</x:v>
      </x:c>
      <x:c r="AG3" s="11" t="n">
        <x:f>INT((W3-X3+AE3+AF3)*100+0.5)/100</x:f>
        <x:v>18900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46211</x:v>
      </x:c>
      <x:c r="F4" s="3" t="str">
        <x:v>GRN-W0103</x:v>
      </x:c>
      <x:c r="G4" s="3" t="str">
        <x:v>INV-W0103</x:v>
      </x:c>
      <x:c r="H4" s="3" t="str">
        <x:v>BATCH-W0103</x:v>
      </x:c>
      <x:c r="I4" s="3" t="str">
        <x:v>PR-W0103</x:v>
      </x:c>
      <x:c r="J4" s="3" t="str">
        <x:v>PO-W0103</x:v>
      </x:c>
      <x:c r="K4" s="9" t="n">
        <x:v>46211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1 receipt</x:v>
      </x:c>
      <x:c r="R4" s="10" t="n">
        <x:v>40</x:v>
      </x:c>
      <x:c r="S4" s="3" t="str">
        <x:v>KG</x:v>
      </x:c>
      <x:c r="T4" s="11" t="n">
        <x:v>48.4</x:v>
      </x:c>
      <x:c r="U4" s="11" t="n">
        <x:v>44</x:v>
      </x:c>
      <x:c r="V4" s="3" t="str"/>
      <x:c r="W4" s="11" t="n">
        <x:f>INT(R4*U4*100+0.5)/100</x:f>
        <x:v>1760</x:v>
      </x:c>
      <x:c r="X4" s="11" t="n">
        <x:v>0</x:v>
      </x:c>
      <x:c r="Y4" s="12" t="n">
        <x:v>5</x:v>
      </x:c>
      <x:c r="Z4" s="11" t="n">
        <x:f>INT(W4*Y4+0.5)/100</x:f>
        <x:v>88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88</x:v>
      </x:c>
      <x:c r="AF4" s="11" t="n">
        <x:v>0</x:v>
      </x:c>
      <x:c r="AG4" s="11" t="n">
        <x:f>INT((W4-X4+AE4+AF4)*100+0.5)/100</x:f>
        <x:v>1848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46212</x:v>
      </x:c>
      <x:c r="F5" s="3" t="str">
        <x:v>GRN-W0104</x:v>
      </x:c>
      <x:c r="G5" s="3" t="str">
        <x:v>INV-W0104</x:v>
      </x:c>
      <x:c r="H5" s="3" t="str">
        <x:v>BATCH-W0104</x:v>
      </x:c>
      <x:c r="I5" s="3" t="str">
        <x:v>PR-W0104</x:v>
      </x:c>
      <x:c r="J5" s="3" t="str">
        <x:v>PO-W0104</x:v>
      </x:c>
      <x:c r="K5" s="9" t="n">
        <x:v>46212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1 receipt</x:v>
      </x:c>
      <x:c r="R5" s="10" t="n">
        <x:v>30</x:v>
      </x:c>
      <x:c r="S5" s="3" t="str">
        <x:v>KG</x:v>
      </x:c>
      <x:c r="T5" s="11" t="n">
        <x:v>198</x:v>
      </x:c>
      <x:c r="U5" s="11" t="n">
        <x:v>180</x:v>
      </x:c>
      <x:c r="V5" s="3" t="str"/>
      <x:c r="W5" s="11" t="n">
        <x:f>INT(R5*U5*100+0.5)/100</x:f>
        <x:v>5400</x:v>
      </x:c>
      <x:c r="X5" s="11" t="n">
        <x:v>0</x:v>
      </x:c>
      <x:c r="Y5" s="12" t="n">
        <x:v>18</x:v>
      </x:c>
      <x:c r="Z5" s="11" t="n">
        <x:f>INT(W5*Y5+0.5)/100</x:f>
        <x:v>972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972</x:v>
      </x:c>
      <x:c r="AF5" s="11" t="n">
        <x:v>0</x:v>
      </x:c>
      <x:c r="AG5" s="11" t="n">
        <x:f>INT((W5-X5+AE5+AF5)*100+0.5)/100</x:f>
        <x:v>6372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46213</x:v>
      </x:c>
      <x:c r="F6" s="3" t="str">
        <x:v>GRN-W0105</x:v>
      </x:c>
      <x:c r="G6" s="3" t="str">
        <x:v>INV-W0105</x:v>
      </x:c>
      <x:c r="H6" s="3" t="str">
        <x:v>BATCH-W0105</x:v>
      </x:c>
      <x:c r="I6" s="3" t="str">
        <x:v>PR-W0105</x:v>
      </x:c>
      <x:c r="J6" s="3" t="str">
        <x:v>PO-W0105</x:v>
      </x:c>
      <x:c r="K6" s="9" t="n">
        <x:v>46213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1 receipt</x:v>
      </x:c>
      <x:c r="R6" s="10" t="n">
        <x:v>600</x:v>
      </x:c>
      <x:c r="S6" s="3" t="str">
        <x:v>PCS</x:v>
      </x:c>
      <x:c r="T6" s="11" t="n">
        <x:v>3.52</x:v>
      </x:c>
      <x:c r="U6" s="11" t="n">
        <x:v>3.2</x:v>
      </x:c>
      <x:c r="V6" s="3" t="str"/>
      <x:c r="W6" s="11" t="n">
        <x:f>INT(R6*U6*100+0.5)/100</x:f>
        <x:v>1920</x:v>
      </x:c>
      <x:c r="X6" s="11" t="n">
        <x:v>0</x:v>
      </x:c>
      <x:c r="Y6" s="12" t="n">
        <x:v>18</x:v>
      </x:c>
      <x:c r="Z6" s="11" t="n">
        <x:f>INT(W6*Y6+0.5)/100</x:f>
        <x:v>345.6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345.6</x:v>
      </x:c>
      <x:c r="AF6" s="11" t="n">
        <x:v>0</x:v>
      </x:c>
      <x:c r="AG6" s="11" t="n">
        <x:f>INT((W6-X6+AE6+AF6)*100+0.5)/100</x:f>
        <x:v>2265.6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46214</x:v>
      </x:c>
      <x:c r="F7" s="3" t="str">
        <x:v>GRN-W0106</x:v>
      </x:c>
      <x:c r="G7" s="3" t="str">
        <x:v>INV-W0106</x:v>
      </x:c>
      <x:c r="H7" s="3" t="str">
        <x:v>BATCH-W0106</x:v>
      </x:c>
      <x:c r="I7" s="3" t="str">
        <x:v>PR-W0106</x:v>
      </x:c>
      <x:c r="J7" s="3" t="str">
        <x:v>PO-W0106</x:v>
      </x:c>
      <x:c r="K7" s="9" t="n">
        <x:v>46214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1 receipt</x:v>
      </x:c>
      <x:c r="R7" s="10" t="n">
        <x:v>45</x:v>
      </x:c>
      <x:c r="S7" s="3" t="str">
        <x:v>LTR</x:v>
      </x:c>
      <x:c r="T7" s="11" t="n">
        <x:v>62.7</x:v>
      </x:c>
      <x:c r="U7" s="11" t="n">
        <x:v>57</x:v>
      </x:c>
      <x:c r="V7" s="3" t="str"/>
      <x:c r="W7" s="11" t="n">
        <x:f>INT(R7*U7*100+0.5)/100</x:f>
        <x:v>2565</x:v>
      </x:c>
      <x:c r="X7" s="11" t="n">
        <x:v>0</x:v>
      </x:c>
      <x:c r="Y7" s="12" t="n">
        <x:v>5</x:v>
      </x:c>
      <x:c r="Z7" s="11" t="n">
        <x:f>INT(W7*Y7+0.5)/100</x:f>
        <x:v>128.25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128.25</x:v>
      </x:c>
      <x:c r="AF7" s="11" t="n">
        <x:v>0</x:v>
      </x:c>
      <x:c r="AG7" s="11" t="n">
        <x:f>INT((W7-X7+AE7+AF7)*100+0.5)/100</x:f>
        <x:v>2693.25</x:v>
      </x:c>
      <x:c r="AH7" s="3" t="str">
        <x:v>Synthetic DataBridge Demo</x:v>
      </x:c>
    </x:row>
    <x:row r="8" ht="21" customHeight="1">
      <x:c r="A8" s="3" t="str">
        <x:v>ABNAH Cafe Connaught Place</x:v>
      </x:c>
      <x:c r="B8" s="3" t="str">
        <x:v>GK2 Main Store</x:v>
      </x:c>
      <x:c r="C8" s="3" t="str">
        <x:v>demo.operator</x:v>
      </x:c>
      <x:c r="D8" s="3" t="str">
        <x:v>FreshDairy India Pvt Ltd</x:v>
      </x:c>
      <x:c r="E8" s="9" t="n">
        <x:v>46216</x:v>
      </x:c>
      <x:c r="F8" s="3" t="str">
        <x:v>GRN-W0201</x:v>
      </x:c>
      <x:c r="G8" s="3" t="str">
        <x:v>INV-W0201</x:v>
      </x:c>
      <x:c r="H8" s="3" t="str">
        <x:v>BATCH-W0201</x:v>
      </x:c>
      <x:c r="I8" s="3" t="str">
        <x:v>PR-W0201</x:v>
      </x:c>
      <x:c r="J8" s="3" t="str">
        <x:v>PO-W0201</x:v>
      </x:c>
      <x:c r="K8" s="9" t="n">
        <x:v>46216</x:v>
      </x:c>
      <x:c r="L8" s="3" t="str">
        <x:v>RM001</x:v>
      </x:c>
      <x:c r="M8" s="3" t="str">
        <x:v>Whole Milk</x:v>
      </x:c>
      <x:c r="N8" s="3" t="str">
        <x:v>FreshDairy</x:v>
      </x:c>
      <x:c r="O8" s="3" t="str">
        <x:v>Dairy</x:v>
      </x:c>
      <x:c r="P8" s="3" t="str">
        <x:v>InGoodCo</x:v>
      </x:c>
      <x:c r="Q8" s="3" t="str">
        <x:v>Synthetic week 2 receipt</x:v>
      </x:c>
      <x:c r="R8" s="10" t="n">
        <x:v>70</x:v>
      </x:c>
      <x:c r="S8" s="3" t="str">
        <x:v>LTR</x:v>
      </x:c>
      <x:c r="T8" s="11" t="n">
        <x:v>63.8</x:v>
      </x:c>
      <x:c r="U8" s="11" t="n">
        <x:v>58</x:v>
      </x:c>
      <x:c r="V8" s="3" t="str"/>
      <x:c r="W8" s="11" t="n">
        <x:f>INT(R8*U8*100+0.5)/100</x:f>
        <x:v>4060</x:v>
      </x:c>
      <x:c r="X8" s="11" t="n">
        <x:v>0</x:v>
      </x:c>
      <x:c r="Y8" s="12" t="n">
        <x:v>5</x:v>
      </x:c>
      <x:c r="Z8" s="11" t="n">
        <x:f>INT(W8*Y8+0.5)/100</x:f>
        <x:v>203</x:v>
      </x:c>
      <x:c r="AA8" s="12" t="n">
        <x:v>0</x:v>
      </x:c>
      <x:c r="AB8" s="11" t="n">
        <x:f>INT(W8*AA8+0.5)/100</x:f>
        <x:v>0</x:v>
      </x:c>
      <x:c r="AC8" s="12" t="n">
        <x:v>0</x:v>
      </x:c>
      <x:c r="AD8" s="11" t="n">
        <x:f>INT(W8*AC8+0.5)/100</x:f>
        <x:v>0</x:v>
      </x:c>
      <x:c r="AE8" s="11" t="n">
        <x:f>INT(SUM(Z8,AB8,AD8)*100+0.5)/100</x:f>
        <x:v>203</x:v>
      </x:c>
      <x:c r="AF8" s="11" t="n">
        <x:v>0</x:v>
      </x:c>
      <x:c r="AG8" s="11" t="n">
        <x:f>INT((W8-X8+AE8+AF8)*100+0.5)/100</x:f>
        <x:v>4263</x:v>
      </x:c>
      <x:c r="AH8" s="3" t="str">
        <x:v>Synthetic DataBridge Demo</x:v>
      </x:c>
    </x:row>
    <x:row r="9" ht="21" customHeight="1">
      <x:c r="A9" s="3" t="str">
        <x:v>ABNAH Cafe Connaught Place</x:v>
      </x:c>
      <x:c r="B9" s="3" t="str">
        <x:v>GK2 Main Store</x:v>
      </x:c>
      <x:c r="C9" s="3" t="str">
        <x:v>demo.operator</x:v>
      </x:c>
      <x:c r="D9" s="3" t="str">
        <x:v>BluePeak Coffee Traders</x:v>
      </x:c>
      <x:c r="E9" s="9" t="n">
        <x:v>46217</x:v>
      </x:c>
      <x:c r="F9" s="3" t="str">
        <x:v>GRN-W0202</x:v>
      </x:c>
      <x:c r="G9" s="3" t="str">
        <x:v>INV-W0202</x:v>
      </x:c>
      <x:c r="H9" s="3" t="str">
        <x:v>BATCH-W0202</x:v>
      </x:c>
      <x:c r="I9" s="3" t="str">
        <x:v>PR-W0202</x:v>
      </x:c>
      <x:c r="J9" s="3" t="str">
        <x:v>PO-W0202</x:v>
      </x:c>
      <x:c r="K9" s="9" t="n">
        <x:v>46217</x:v>
      </x:c>
      <x:c r="L9" s="3" t="str">
        <x:v>RM002</x:v>
      </x:c>
      <x:c r="M9" s="3" t="str">
        <x:v>Arabica Coffee Beans</x:v>
      </x:c>
      <x:c r="N9" s="3" t="str">
        <x:v>BluePeak</x:v>
      </x:c>
      <x:c r="O9" s="3" t="str">
        <x:v>Beverage Inputs</x:v>
      </x:c>
      <x:c r="P9" s="3" t="str">
        <x:v>InGoodCo</x:v>
      </x:c>
      <x:c r="Q9" s="3" t="str">
        <x:v>Synthetic week 2 receipt</x:v>
      </x:c>
      <x:c r="R9" s="10" t="n">
        <x:v>22</x:v>
      </x:c>
      <x:c r="S9" s="3" t="str">
        <x:v>KG</x:v>
      </x:c>
      <x:c r="T9" s="11" t="n">
        <x:v>836</x:v>
      </x:c>
      <x:c r="U9" s="11" t="n">
        <x:v>760</x:v>
      </x:c>
      <x:c r="V9" s="3" t="str"/>
      <x:c r="W9" s="11" t="n">
        <x:f>INT(R9*U9*100+0.5)/100</x:f>
        <x:v>16720</x:v>
      </x:c>
      <x:c r="X9" s="11" t="n">
        <x:v>0</x:v>
      </x:c>
      <x:c r="Y9" s="12" t="n">
        <x:v>5</x:v>
      </x:c>
      <x:c r="Z9" s="11" t="n">
        <x:f>INT(W9*Y9+0.5)/100</x:f>
        <x:v>836</x:v>
      </x:c>
      <x:c r="AA9" s="12" t="n">
        <x:v>0</x:v>
      </x:c>
      <x:c r="AB9" s="11" t="n">
        <x:f>INT(W9*AA9+0.5)/100</x:f>
        <x:v>0</x:v>
      </x:c>
      <x:c r="AC9" s="12" t="n">
        <x:v>0</x:v>
      </x:c>
      <x:c r="AD9" s="11" t="n">
        <x:f>INT(W9*AC9+0.5)/100</x:f>
        <x:v>0</x:v>
      </x:c>
      <x:c r="AE9" s="11" t="n">
        <x:f>INT(SUM(Z9,AB9,AD9)*100+0.5)/100</x:f>
        <x:v>836</x:v>
      </x:c>
      <x:c r="AF9" s="11" t="n">
        <x:v>0</x:v>
      </x:c>
      <x:c r="AG9" s="11" t="n">
        <x:f>INT((W9-X9+AE9+AF9)*100+0.5)/100</x:f>
        <x:v>17556</x:v>
      </x:c>
      <x:c r="AH9" s="3" t="str">
        <x:v>Synthetic DataBridge Demo</x:v>
      </x:c>
    </x:row>
    <x:row r="10" ht="21" customHeight="1">
      <x:c r="A10" s="3" t="str">
        <x:v>ABNAH Cafe Connaught Place</x:v>
      </x:c>
      <x:c r="B10" s="3" t="str">
        <x:v>GK2 Main Store</x:v>
      </x:c>
      <x:c r="C10" s="3" t="str">
        <x:v>demo.operator</x:v>
      </x:c>
      <x:c r="D10" s="3" t="str">
        <x:v>Madhur Sugar Distributors</x:v>
      </x:c>
      <x:c r="E10" s="9" t="n">
        <x:v>46218</x:v>
      </x:c>
      <x:c r="F10" s="3" t="str">
        <x:v>GRN-W0203</x:v>
      </x:c>
      <x:c r="G10" s="3" t="str">
        <x:v>INV-W0203</x:v>
      </x:c>
      <x:c r="H10" s="3" t="str">
        <x:v>BATCH-W0203</x:v>
      </x:c>
      <x:c r="I10" s="3" t="str">
        <x:v>PR-W0203</x:v>
      </x:c>
      <x:c r="J10" s="3" t="str">
        <x:v>PO-W0203</x:v>
      </x:c>
      <x:c r="K10" s="9" t="n">
        <x:v>46218</x:v>
      </x:c>
      <x:c r="L10" s="3" t="str">
        <x:v>RM003</x:v>
      </x:c>
      <x:c r="M10" s="3" t="str">
        <x:v>Refined Sugar</x:v>
      </x:c>
      <x:c r="N10" s="3" t="str">
        <x:v>Madhur</x:v>
      </x:c>
      <x:c r="O10" s="3" t="str">
        <x:v>Grocery</x:v>
      </x:c>
      <x:c r="P10" s="3" t="str">
        <x:v>InGoodCo</x:v>
      </x:c>
      <x:c r="Q10" s="3" t="str">
        <x:v>Synthetic week 2 receipt</x:v>
      </x:c>
      <x:c r="R10" s="10" t="n">
        <x:v>45</x:v>
      </x:c>
      <x:c r="S10" s="3" t="str">
        <x:v>KG</x:v>
      </x:c>
      <x:c r="T10" s="11" t="n">
        <x:v>49.5</x:v>
      </x:c>
      <x:c r="U10" s="11" t="n">
        <x:v>45</x:v>
      </x:c>
      <x:c r="V10" s="3" t="str"/>
      <x:c r="W10" s="11" t="n">
        <x:f>INT(R10*U10*100+0.5)/100</x:f>
        <x:v>2025</x:v>
      </x:c>
      <x:c r="X10" s="11" t="n">
        <x:v>0</x:v>
      </x:c>
      <x:c r="Y10" s="12" t="n">
        <x:v>5</x:v>
      </x:c>
      <x:c r="Z10" s="11" t="n">
        <x:f>INT(W10*Y10+0.5)/100</x:f>
        <x:v>101.25</x:v>
      </x:c>
      <x:c r="AA10" s="12" t="n">
        <x:v>0</x:v>
      </x:c>
      <x:c r="AB10" s="11" t="n">
        <x:f>INT(W10*AA10+0.5)/100</x:f>
        <x:v>0</x:v>
      </x:c>
      <x:c r="AC10" s="12" t="n">
        <x:v>0</x:v>
      </x:c>
      <x:c r="AD10" s="11" t="n">
        <x:f>INT(W10*AC10+0.5)/100</x:f>
        <x:v>0</x:v>
      </x:c>
      <x:c r="AE10" s="11" t="n">
        <x:f>INT(SUM(Z10,AB10,AD10)*100+0.5)/100</x:f>
        <x:v>101.25</x:v>
      </x:c>
      <x:c r="AF10" s="11" t="n">
        <x:v>0</x:v>
      </x:c>
      <x:c r="AG10" s="11" t="n">
        <x:f>INT((W10-X10+AE10+AF10)*100+0.5)/100</x:f>
        <x:v>2126.25</x:v>
      </x:c>
      <x:c r="AH10" s="3" t="str">
        <x:v>Synthetic DataBridge Demo</x:v>
      </x:c>
    </x:row>
    <x:row r="11" ht="21" customHeight="1">
      <x:c r="A11" s="3" t="str">
        <x:v>ABNAH Cafe Connaught Place</x:v>
      </x:c>
      <x:c r="B11" s="3" t="str">
        <x:v>GK2 Main Store</x:v>
      </x:c>
      <x:c r="C11" s="3" t="str">
        <x:v>demo.operator</x:v>
      </x:c>
      <x:c r="D11" s="3" t="str">
        <x:v>Bakers Choice Foods</x:v>
      </x:c>
      <x:c r="E11" s="9" t="n">
        <x:v>46219</x:v>
      </x:c>
      <x:c r="F11" s="3" t="str">
        <x:v>GRN-W0204</x:v>
      </x:c>
      <x:c r="G11" s="3" t="str">
        <x:v>INV-W0204</x:v>
      </x:c>
      <x:c r="H11" s="3" t="str">
        <x:v>BATCH-W0204</x:v>
      </x:c>
      <x:c r="I11" s="3" t="str">
        <x:v>PR-W0204</x:v>
      </x:c>
      <x:c r="J11" s="3" t="str">
        <x:v>PO-W0204</x:v>
      </x:c>
      <x:c r="K11" s="9" t="n">
        <x:v>46219</x:v>
      </x:c>
      <x:c r="L11" s="3" t="str">
        <x:v>RM004</x:v>
      </x:c>
      <x:c r="M11" s="3" t="str">
        <x:v>Vanilla Cake Base</x:v>
      </x:c>
      <x:c r="N11" s="3" t="str">
        <x:v>Bakers Choice</x:v>
      </x:c>
      <x:c r="O11" s="3" t="str">
        <x:v>Bakery Inputs</x:v>
      </x:c>
      <x:c r="P11" s="3" t="str">
        <x:v>InGoodCo</x:v>
      </x:c>
      <x:c r="Q11" s="3" t="str">
        <x:v>Synthetic week 2 receipt</x:v>
      </x:c>
      <x:c r="R11" s="10" t="n">
        <x:v>24</x:v>
      </x:c>
      <x:c r="S11" s="3" t="str">
        <x:v>KG</x:v>
      </x:c>
      <x:c r="T11" s="11" t="n">
        <x:v>204.6</x:v>
      </x:c>
      <x:c r="U11" s="11" t="n">
        <x:v>186</x:v>
      </x:c>
      <x:c r="V11" s="3" t="str"/>
      <x:c r="W11" s="11" t="n">
        <x:f>INT(R11*U11*100+0.5)/100</x:f>
        <x:v>4464</x:v>
      </x:c>
      <x:c r="X11" s="11" t="n">
        <x:v>0</x:v>
      </x:c>
      <x:c r="Y11" s="12" t="n">
        <x:v>18</x:v>
      </x:c>
      <x:c r="Z11" s="11" t="n">
        <x:f>INT(W11*Y11+0.5)/100</x:f>
        <x:v>803.52</x:v>
      </x:c>
      <x:c r="AA11" s="12" t="n">
        <x:v>0</x:v>
      </x:c>
      <x:c r="AB11" s="11" t="n">
        <x:f>INT(W11*AA11+0.5)/100</x:f>
        <x:v>0</x:v>
      </x:c>
      <x:c r="AC11" s="12" t="n">
        <x:v>0</x:v>
      </x:c>
      <x:c r="AD11" s="11" t="n">
        <x:f>INT(W11*AC11+0.5)/100</x:f>
        <x:v>0</x:v>
      </x:c>
      <x:c r="AE11" s="11" t="n">
        <x:f>INT(SUM(Z11,AB11,AD11)*100+0.5)/100</x:f>
        <x:v>803.52</x:v>
      </x:c>
      <x:c r="AF11" s="11" t="n">
        <x:v>0</x:v>
      </x:c>
      <x:c r="AG11" s="11" t="n">
        <x:f>INT((W11-X11+AE11+AF11)*100+0.5)/100</x:f>
        <x:v>5267.52</x:v>
      </x:c>
      <x:c r="AH11" s="3" t="str">
        <x:v>Synthetic DataBridge Demo</x:v>
      </x:c>
    </x:row>
    <x:row r="12" ht="21" customHeight="1">
      <x:c r="A12" s="3" t="str">
        <x:v>ABNAH Cafe Connaught Place</x:v>
      </x:c>
      <x:c r="B12" s="3" t="str">
        <x:v>GK2 Main Store</x:v>
      </x:c>
      <x:c r="C12" s="3" t="str">
        <x:v>demo.operator</x:v>
      </x:c>
      <x:c r="D12" s="3" t="str">
        <x:v>EcoServe Packaging</x:v>
      </x:c>
      <x:c r="E12" s="9" t="n">
        <x:v>46220</x:v>
      </x:c>
      <x:c r="F12" s="3" t="str">
        <x:v>GRN-W0205</x:v>
      </x:c>
      <x:c r="G12" s="3" t="str">
        <x:v>INV-W0205</x:v>
      </x:c>
      <x:c r="H12" s="3" t="str">
        <x:v>BATCH-W0205</x:v>
      </x:c>
      <x:c r="I12" s="3" t="str">
        <x:v>PR-W0205</x:v>
      </x:c>
      <x:c r="J12" s="3" t="str">
        <x:v>PO-W0205</x:v>
      </x:c>
      <x:c r="K12" s="9" t="n">
        <x:v>46220</x:v>
      </x:c>
      <x:c r="L12" s="3" t="str">
        <x:v>RM005</x:v>
      </x:c>
      <x:c r="M12" s="3" t="str">
        <x:v>12 oz Paper Cup</x:v>
      </x:c>
      <x:c r="N12" s="3" t="str">
        <x:v>EcoServe</x:v>
      </x:c>
      <x:c r="O12" s="3" t="str">
        <x:v>Packaging</x:v>
      </x:c>
      <x:c r="P12" s="3" t="str">
        <x:v>InGoodCo</x:v>
      </x:c>
      <x:c r="Q12" s="3" t="str">
        <x:v>Synthetic week 2 receipt</x:v>
      </x:c>
      <x:c r="R12" s="10" t="n">
        <x:v>500</x:v>
      </x:c>
      <x:c r="S12" s="3" t="str">
        <x:v>PCS</x:v>
      </x:c>
      <x:c r="T12" s="11" t="n">
        <x:v>3.58</x:v>
      </x:c>
      <x:c r="U12" s="11" t="n">
        <x:v>3.25</x:v>
      </x:c>
      <x:c r="V12" s="3" t="str"/>
      <x:c r="W12" s="11" t="n">
        <x:f>INT(R12*U12*100+0.5)/100</x:f>
        <x:v>1625</x:v>
      </x:c>
      <x:c r="X12" s="11" t="n">
        <x:v>0</x:v>
      </x:c>
      <x:c r="Y12" s="12" t="n">
        <x:v>18</x:v>
      </x:c>
      <x:c r="Z12" s="11" t="n">
        <x:f>INT(W12*Y12+0.5)/100</x:f>
        <x:v>292.5</x:v>
      </x:c>
      <x:c r="AA12" s="12" t="n">
        <x:v>0</x:v>
      </x:c>
      <x:c r="AB12" s="11" t="n">
        <x:f>INT(W12*AA12+0.5)/100</x:f>
        <x:v>0</x:v>
      </x:c>
      <x:c r="AC12" s="12" t="n">
        <x:v>0</x:v>
      </x:c>
      <x:c r="AD12" s="11" t="n">
        <x:f>INT(W12*AC12+0.5)/100</x:f>
        <x:v>0</x:v>
      </x:c>
      <x:c r="AE12" s="11" t="n">
        <x:f>INT(SUM(Z12,AB12,AD12)*100+0.5)/100</x:f>
        <x:v>292.5</x:v>
      </x:c>
      <x:c r="AF12" s="11" t="n">
        <x:v>0</x:v>
      </x:c>
      <x:c r="AG12" s="11" t="n">
        <x:f>INT((W12-X12+AE12+AF12)*100+0.5)/100</x:f>
        <x:v>1917.5</x:v>
      </x:c>
      <x:c r="AH12" s="3" t="str">
        <x:v>Synthetic DataBridge Demo</x:v>
      </x:c>
    </x:row>
    <x:row r="13" ht="21" customHeight="1">
      <x:c r="A13" s="3" t="str">
        <x:v>ABNAH Cafe Connaught Place</x:v>
      </x:c>
      <x:c r="B13" s="3" t="str">
        <x:v>GK2 Main Store</x:v>
      </x:c>
      <x:c r="C13" s="3" t="str">
        <x:v>demo.operator</x:v>
      </x:c>
      <x:c r="D13" s="3" t="str">
        <x:v>FreshDairy India Pvt Ltd</x:v>
      </x:c>
      <x:c r="E13" s="9" t="n">
        <x:v>46221</x:v>
      </x:c>
      <x:c r="F13" s="3" t="str">
        <x:v>GRN-W0206</x:v>
      </x:c>
      <x:c r="G13" s="3" t="str">
        <x:v>INV-W0206</x:v>
      </x:c>
      <x:c r="H13" s="3" t="str">
        <x:v>BATCH-W0206</x:v>
      </x:c>
      <x:c r="I13" s="3" t="str">
        <x:v>PR-W0206</x:v>
      </x:c>
      <x:c r="J13" s="3" t="str">
        <x:v>PO-W0206</x:v>
      </x:c>
      <x:c r="K13" s="9" t="n">
        <x:v>46221</x:v>
      </x:c>
      <x:c r="L13" s="3" t="str">
        <x:v>RM001</x:v>
      </x:c>
      <x:c r="M13" s="3" t="str">
        <x:v>Whole Milk</x:v>
      </x:c>
      <x:c r="N13" s="3" t="str">
        <x:v>FreshDairy</x:v>
      </x:c>
      <x:c r="O13" s="3" t="str">
        <x:v>Dairy</x:v>
      </x:c>
      <x:c r="P13" s="3" t="str">
        <x:v>InGoodCo</x:v>
      </x:c>
      <x:c r="Q13" s="3" t="str">
        <x:v>Synthetic week 2 receipt</x:v>
      </x:c>
      <x:c r="R13" s="10" t="n">
        <x:v>50</x:v>
      </x:c>
      <x:c r="S13" s="3" t="str">
        <x:v>LTR</x:v>
      </x:c>
      <x:c r="T13" s="11" t="n">
        <x:v>63.8</x:v>
      </x:c>
      <x:c r="U13" s="11" t="n">
        <x:v>58</x:v>
      </x:c>
      <x:c r="V13" s="3" t="str"/>
      <x:c r="W13" s="11" t="n">
        <x:f>INT(R13*U13*100+0.5)/100</x:f>
        <x:v>2900</x:v>
      </x:c>
      <x:c r="X13" s="11" t="n">
        <x:v>0</x:v>
      </x:c>
      <x:c r="Y13" s="12" t="n">
        <x:v>5</x:v>
      </x:c>
      <x:c r="Z13" s="11" t="n">
        <x:f>INT(W13*Y13+0.5)/100</x:f>
        <x:v>145</x:v>
      </x:c>
      <x:c r="AA13" s="12" t="n">
        <x:v>0</x:v>
      </x:c>
      <x:c r="AB13" s="11" t="n">
        <x:f>INT(W13*AA13+0.5)/100</x:f>
        <x:v>0</x:v>
      </x:c>
      <x:c r="AC13" s="12" t="n">
        <x:v>0</x:v>
      </x:c>
      <x:c r="AD13" s="11" t="n">
        <x:f>INT(W13*AC13+0.5)/100</x:f>
        <x:v>0</x:v>
      </x:c>
      <x:c r="AE13" s="11" t="n">
        <x:f>INT(SUM(Z13,AB13,AD13)*100+0.5)/100</x:f>
        <x:v>145</x:v>
      </x:c>
      <x:c r="AF13" s="11" t="n">
        <x:v>0</x:v>
      </x:c>
      <x:c r="AG13" s="11" t="n">
        <x:f>INT((W13-X13+AE13+AF13)*100+0.5)/100</x:f>
        <x:v>3045</x:v>
      </x:c>
      <x:c r="AH13" s="3" t="str">
        <x:v>Synthetic DataBridge Demo</x:v>
      </x:c>
    </x:row>
    <x:row r="14" ht="21" customHeight="1">
      <x:c r="A14" s="3" t="str">
        <x:v>ABNAH Cafe Connaught Place</x:v>
      </x:c>
      <x:c r="B14" s="3" t="str">
        <x:v>GK2 Main Store</x:v>
      </x:c>
      <x:c r="C14" s="3" t="str">
        <x:v>demo.operator</x:v>
      </x:c>
      <x:c r="D14" s="3" t="str">
        <x:v>FreshDairy India Pvt Ltd</x:v>
      </x:c>
      <x:c r="E14" s="9" t="n">
        <x:v>46223</x:v>
      </x:c>
      <x:c r="F14" s="3" t="str">
        <x:v>GRN-W0301</x:v>
      </x:c>
      <x:c r="G14" s="3" t="str">
        <x:v>INV-W0301</x:v>
      </x:c>
      <x:c r="H14" s="3" t="str">
        <x:v>BATCH-W0301</x:v>
      </x:c>
      <x:c r="I14" s="3" t="str">
        <x:v>PR-W0301</x:v>
      </x:c>
      <x:c r="J14" s="3" t="str">
        <x:v>PO-W0301</x:v>
      </x:c>
      <x:c r="K14" s="9" t="n">
        <x:v>46223</x:v>
      </x:c>
      <x:c r="L14" s="3" t="str">
        <x:v>RM001</x:v>
      </x:c>
      <x:c r="M14" s="3" t="str">
        <x:v>Whole Milk</x:v>
      </x:c>
      <x:c r="N14" s="3" t="str">
        <x:v>FreshDairy</x:v>
      </x:c>
      <x:c r="O14" s="3" t="str">
        <x:v>Dairy</x:v>
      </x:c>
      <x:c r="P14" s="3" t="str">
        <x:v>InGoodCo</x:v>
      </x:c>
      <x:c r="Q14" s="3" t="str">
        <x:v>Synthetic week 3 receipt</x:v>
      </x:c>
      <x:c r="R14" s="10" t="n">
        <x:v>85</x:v>
      </x:c>
      <x:c r="S14" s="3" t="str">
        <x:v>LTR</x:v>
      </x:c>
      <x:c r="T14" s="11" t="n">
        <x:v>64.9</x:v>
      </x:c>
      <x:c r="U14" s="11" t="n">
        <x:v>59</x:v>
      </x:c>
      <x:c r="V14" s="3" t="str"/>
      <x:c r="W14" s="11" t="n">
        <x:f>INT(R14*U14*100+0.5)/100</x:f>
        <x:v>5015</x:v>
      </x:c>
      <x:c r="X14" s="11" t="n">
        <x:v>0</x:v>
      </x:c>
      <x:c r="Y14" s="12" t="n">
        <x:v>5</x:v>
      </x:c>
      <x:c r="Z14" s="11" t="n">
        <x:f>INT(W14*Y14+0.5)/100</x:f>
        <x:v>250.75</x:v>
      </x:c>
      <x:c r="AA14" s="12" t="n">
        <x:v>0</x:v>
      </x:c>
      <x:c r="AB14" s="11" t="n">
        <x:f>INT(W14*AA14+0.5)/100</x:f>
        <x:v>0</x:v>
      </x:c>
      <x:c r="AC14" s="12" t="n">
        <x:v>0</x:v>
      </x:c>
      <x:c r="AD14" s="11" t="n">
        <x:f>INT(W14*AC14+0.5)/100</x:f>
        <x:v>0</x:v>
      </x:c>
      <x:c r="AE14" s="11" t="n">
        <x:f>INT(SUM(Z14,AB14,AD14)*100+0.5)/100</x:f>
        <x:v>250.75</x:v>
      </x:c>
      <x:c r="AF14" s="11" t="n">
        <x:v>0</x:v>
      </x:c>
      <x:c r="AG14" s="11" t="n">
        <x:f>INT((W14-X14+AE14+AF14)*100+0.5)/100</x:f>
        <x:v>5265.75</x:v>
      </x:c>
      <x:c r="AH14" s="3" t="str">
        <x:v>Synthetic DataBridge Demo</x:v>
      </x:c>
    </x:row>
    <x:row r="15" ht="21" customHeight="1">
      <x:c r="A15" s="3" t="str">
        <x:v>ABNAH Cafe Connaught Place</x:v>
      </x:c>
      <x:c r="B15" s="3" t="str">
        <x:v>GK2 Main Store</x:v>
      </x:c>
      <x:c r="C15" s="3" t="str">
        <x:v>demo.operator</x:v>
      </x:c>
      <x:c r="D15" s="3" t="str">
        <x:v>BluePeak Coffee Traders</x:v>
      </x:c>
      <x:c r="E15" s="9" t="n">
        <x:v>46224</x:v>
      </x:c>
      <x:c r="F15" s="3" t="str">
        <x:v>GRN-W0302</x:v>
      </x:c>
      <x:c r="G15" s="3" t="str">
        <x:v>INV-W0302</x:v>
      </x:c>
      <x:c r="H15" s="3" t="str">
        <x:v>BATCH-W0302</x:v>
      </x:c>
      <x:c r="I15" s="3" t="str">
        <x:v>PR-W0302</x:v>
      </x:c>
      <x:c r="J15" s="3" t="str">
        <x:v>PO-W0302</x:v>
      </x:c>
      <x:c r="K15" s="9" t="n">
        <x:v>46224</x:v>
      </x:c>
      <x:c r="L15" s="3" t="str">
        <x:v>RM002</x:v>
      </x:c>
      <x:c r="M15" s="3" t="str">
        <x:v>Arabica Coffee Beans</x:v>
      </x:c>
      <x:c r="N15" s="3" t="str">
        <x:v>BluePeak</x:v>
      </x:c>
      <x:c r="O15" s="3" t="str">
        <x:v>Beverage Inputs</x:v>
      </x:c>
      <x:c r="P15" s="3" t="str">
        <x:v>InGoodCo</x:v>
      </x:c>
      <x:c r="Q15" s="3" t="str">
        <x:v>Synthetic week 3 receipt</x:v>
      </x:c>
      <x:c r="R15" s="10" t="n">
        <x:v>30</x:v>
      </x:c>
      <x:c r="S15" s="3" t="str">
        <x:v>KG</x:v>
      </x:c>
      <x:c r="T15" s="11" t="n">
        <x:v>926.2</x:v>
      </x:c>
      <x:c r="U15" s="11" t="n">
        <x:v>842</x:v>
      </x:c>
      <x:c r="V15" s="3" t="str"/>
      <x:c r="W15" s="11" t="n">
        <x:f>INT(R15*U15*100+0.5)/100</x:f>
        <x:v>25260</x:v>
      </x:c>
      <x:c r="X15" s="11" t="n">
        <x:v>0</x:v>
      </x:c>
      <x:c r="Y15" s="12" t="n">
        <x:v>5</x:v>
      </x:c>
      <x:c r="Z15" s="11" t="n">
        <x:f>INT(W15*Y15+0.5)/100</x:f>
        <x:v>1263</x:v>
      </x:c>
      <x:c r="AA15" s="12" t="n">
        <x:v>0</x:v>
      </x:c>
      <x:c r="AB15" s="11" t="n">
        <x:f>INT(W15*AA15+0.5)/100</x:f>
        <x:v>0</x:v>
      </x:c>
      <x:c r="AC15" s="12" t="n">
        <x:v>0</x:v>
      </x:c>
      <x:c r="AD15" s="11" t="n">
        <x:f>INT(W15*AC15+0.5)/100</x:f>
        <x:v>0</x:v>
      </x:c>
      <x:c r="AE15" s="11" t="n">
        <x:f>INT(SUM(Z15,AB15,AD15)*100+0.5)/100</x:f>
        <x:v>1263</x:v>
      </x:c>
      <x:c r="AF15" s="11" t="n">
        <x:v>0</x:v>
      </x:c>
      <x:c r="AG15" s="11" t="n">
        <x:f>INT((W15-X15+AE15+AF15)*100+0.5)/100</x:f>
        <x:v>26523</x:v>
      </x:c>
      <x:c r="AH15" s="3" t="str">
        <x:v>Synthetic DataBridge Demo</x:v>
      </x:c>
    </x:row>
    <x:row r="16" ht="21" customHeight="1">
      <x:c r="A16" s="3" t="str">
        <x:v>ABNAH Cafe Connaught Place</x:v>
      </x:c>
      <x:c r="B16" s="3" t="str">
        <x:v>GK2 Main Store</x:v>
      </x:c>
      <x:c r="C16" s="3" t="str">
        <x:v>demo.operator</x:v>
      </x:c>
      <x:c r="D16" s="3" t="str">
        <x:v>Madhur Sugar Distributors</x:v>
      </x:c>
      <x:c r="E16" s="9" t="n">
        <x:v>46225</x:v>
      </x:c>
      <x:c r="F16" s="3" t="str">
        <x:v>GRN-W0303</x:v>
      </x:c>
      <x:c r="G16" s="3" t="str">
        <x:v>INV-W0303</x:v>
      </x:c>
      <x:c r="H16" s="3" t="str">
        <x:v>BATCH-W0303</x:v>
      </x:c>
      <x:c r="I16" s="3" t="str">
        <x:v>PR-W0303</x:v>
      </x:c>
      <x:c r="J16" s="3" t="str">
        <x:v>PO-W0303</x:v>
      </x:c>
      <x:c r="K16" s="9" t="n">
        <x:v>46225</x:v>
      </x:c>
      <x:c r="L16" s="3" t="str">
        <x:v>RM003</x:v>
      </x:c>
      <x:c r="M16" s="3" t="str">
        <x:v>Refined Sugar</x:v>
      </x:c>
      <x:c r="N16" s="3" t="str">
        <x:v>Madhur</x:v>
      </x:c>
      <x:c r="O16" s="3" t="str">
        <x:v>Grocery</x:v>
      </x:c>
      <x:c r="P16" s="3" t="str">
        <x:v>InGoodCo</x:v>
      </x:c>
      <x:c r="Q16" s="3" t="str">
        <x:v>Synthetic week 3 receipt</x:v>
      </x:c>
      <x:c r="R16" s="10" t="n">
        <x:v>40</x:v>
      </x:c>
      <x:c r="S16" s="3" t="str">
        <x:v>KG</x:v>
      </x:c>
      <x:c r="T16" s="11" t="n">
        <x:v>49.5</x:v>
      </x:c>
      <x:c r="U16" s="11" t="n">
        <x:v>45</x:v>
      </x:c>
      <x:c r="V16" s="3" t="str"/>
      <x:c r="W16" s="11" t="n">
        <x:f>INT(R16*U16*100+0.5)/100</x:f>
        <x:v>1800</x:v>
      </x:c>
      <x:c r="X16" s="11" t="n">
        <x:v>0</x:v>
      </x:c>
      <x:c r="Y16" s="12" t="n">
        <x:v>5</x:v>
      </x:c>
      <x:c r="Z16" s="11" t="n">
        <x:f>INT(W16*Y16+0.5)/100</x:f>
        <x:v>90</x:v>
      </x:c>
      <x:c r="AA16" s="12" t="n">
        <x:v>0</x:v>
      </x:c>
      <x:c r="AB16" s="11" t="n">
        <x:f>INT(W16*AA16+0.5)/100</x:f>
        <x:v>0</x:v>
      </x:c>
      <x:c r="AC16" s="12" t="n">
        <x:v>0</x:v>
      </x:c>
      <x:c r="AD16" s="11" t="n">
        <x:f>INT(W16*AC16+0.5)/100</x:f>
        <x:v>0</x:v>
      </x:c>
      <x:c r="AE16" s="11" t="n">
        <x:f>INT(SUM(Z16,AB16,AD16)*100+0.5)/100</x:f>
        <x:v>90</x:v>
      </x:c>
      <x:c r="AF16" s="11" t="n">
        <x:v>0</x:v>
      </x:c>
      <x:c r="AG16" s="11" t="n">
        <x:f>INT((W16-X16+AE16+AF16)*100+0.5)/100</x:f>
        <x:v>1890</x:v>
      </x:c>
      <x:c r="AH16" s="3" t="str">
        <x:v>Synthetic DataBridge Demo</x:v>
      </x:c>
    </x:row>
    <x:row r="17" ht="21" customHeight="1">
      <x:c r="A17" s="3" t="str">
        <x:v>ABNAH Cafe Connaught Place</x:v>
      </x:c>
      <x:c r="B17" s="3" t="str">
        <x:v>GK2 Main Store</x:v>
      </x:c>
      <x:c r="C17" s="3" t="str">
        <x:v>demo.operator</x:v>
      </x:c>
      <x:c r="D17" s="3" t="str">
        <x:v>Bakers Choice Foods</x:v>
      </x:c>
      <x:c r="E17" s="9" t="n">
        <x:v>46226</x:v>
      </x:c>
      <x:c r="F17" s="3" t="str">
        <x:v>GRN-W0304</x:v>
      </x:c>
      <x:c r="G17" s="3" t="str">
        <x:v>INV-W0304</x:v>
      </x:c>
      <x:c r="H17" s="3" t="str">
        <x:v>BATCH-W0304</x:v>
      </x:c>
      <x:c r="I17" s="3" t="str">
        <x:v>PR-W0304</x:v>
      </x:c>
      <x:c r="J17" s="3" t="str">
        <x:v>PO-W0304</x:v>
      </x:c>
      <x:c r="K17" s="9" t="n">
        <x:v>46226</x:v>
      </x:c>
      <x:c r="L17" s="3" t="str">
        <x:v>RM004</x:v>
      </x:c>
      <x:c r="M17" s="3" t="str">
        <x:v>Vanilla Cake Base</x:v>
      </x:c>
      <x:c r="N17" s="3" t="str">
        <x:v>Bakers Choice</x:v>
      </x:c>
      <x:c r="O17" s="3" t="str">
        <x:v>Bakery Inputs</x:v>
      </x:c>
      <x:c r="P17" s="3" t="str">
        <x:v>InGoodCo</x:v>
      </x:c>
      <x:c r="Q17" s="3" t="str">
        <x:v>Synthetic week 3 receipt</x:v>
      </x:c>
      <x:c r="R17" s="10" t="n">
        <x:v>35</x:v>
      </x:c>
      <x:c r="S17" s="3" t="str">
        <x:v>KG</x:v>
      </x:c>
      <x:c r="T17" s="11" t="n">
        <x:v>206.8</x:v>
      </x:c>
      <x:c r="U17" s="11" t="n">
        <x:v>188</x:v>
      </x:c>
      <x:c r="V17" s="3" t="str"/>
      <x:c r="W17" s="11" t="n">
        <x:f>INT(R17*U17*100+0.5)/100</x:f>
        <x:v>6580</x:v>
      </x:c>
      <x:c r="X17" s="11" t="n">
        <x:v>0</x:v>
      </x:c>
      <x:c r="Y17" s="12" t="n">
        <x:v>18</x:v>
      </x:c>
      <x:c r="Z17" s="11" t="n">
        <x:f>INT(W17*Y17+0.5)/100</x:f>
        <x:v>1184.4</x:v>
      </x:c>
      <x:c r="AA17" s="12" t="n">
        <x:v>0</x:v>
      </x:c>
      <x:c r="AB17" s="11" t="n">
        <x:f>INT(W17*AA17+0.5)/100</x:f>
        <x:v>0</x:v>
      </x:c>
      <x:c r="AC17" s="12" t="n">
        <x:v>0</x:v>
      </x:c>
      <x:c r="AD17" s="11" t="n">
        <x:f>INT(W17*AC17+0.5)/100</x:f>
        <x:v>0</x:v>
      </x:c>
      <x:c r="AE17" s="11" t="n">
        <x:f>INT(SUM(Z17,AB17,AD17)*100+0.5)/100</x:f>
        <x:v>1184.4</x:v>
      </x:c>
      <x:c r="AF17" s="11" t="n">
        <x:v>0</x:v>
      </x:c>
      <x:c r="AG17" s="11" t="n">
        <x:f>INT((W17-X17+AE17+AF17)*100+0.5)/100</x:f>
        <x:v>7764.4</x:v>
      </x:c>
      <x:c r="AH17" s="3" t="str">
        <x:v>Synthetic DataBridge Demo</x:v>
      </x:c>
    </x:row>
    <x:row r="18" ht="21" customHeight="1">
      <x:c r="A18" s="3" t="str">
        <x:v>ABNAH Cafe Connaught Place</x:v>
      </x:c>
      <x:c r="B18" s="3" t="str">
        <x:v>GK2 Main Store</x:v>
      </x:c>
      <x:c r="C18" s="3" t="str">
        <x:v>demo.operator</x:v>
      </x:c>
      <x:c r="D18" s="3" t="str">
        <x:v>EcoServe Packaging</x:v>
      </x:c>
      <x:c r="E18" s="9" t="n">
        <x:v>46227</x:v>
      </x:c>
      <x:c r="F18" s="3" t="str">
        <x:v>GRN-W0305</x:v>
      </x:c>
      <x:c r="G18" s="3" t="str">
        <x:v>INV-W0305</x:v>
      </x:c>
      <x:c r="H18" s="3" t="str">
        <x:v>BATCH-W0305</x:v>
      </x:c>
      <x:c r="I18" s="3" t="str">
        <x:v>PR-W0305</x:v>
      </x:c>
      <x:c r="J18" s="3" t="str">
        <x:v>PO-W0305</x:v>
      </x:c>
      <x:c r="K18" s="9" t="n">
        <x:v>46227</x:v>
      </x:c>
      <x:c r="L18" s="3" t="str">
        <x:v>RM005</x:v>
      </x:c>
      <x:c r="M18" s="3" t="str">
        <x:v>12 oz Paper Cup</x:v>
      </x:c>
      <x:c r="N18" s="3" t="str">
        <x:v>EcoServe</x:v>
      </x:c>
      <x:c r="O18" s="3" t="str">
        <x:v>Packaging</x:v>
      </x:c>
      <x:c r="P18" s="3" t="str">
        <x:v>InGoodCo</x:v>
      </x:c>
      <x:c r="Q18" s="3" t="str">
        <x:v>Synthetic week 3 receipt</x:v>
      </x:c>
      <x:c r="R18" s="10" t="n">
        <x:v>700</x:v>
      </x:c>
      <x:c r="S18" s="3" t="str">
        <x:v>PCS</x:v>
      </x:c>
      <x:c r="T18" s="11" t="n">
        <x:v>4.02</x:v>
      </x:c>
      <x:c r="U18" s="11" t="n">
        <x:v>3.65</x:v>
      </x:c>
      <x:c r="V18" s="3" t="str"/>
      <x:c r="W18" s="11" t="n">
        <x:f>INT(R18*U18*100+0.5)/100</x:f>
        <x:v>2555</x:v>
      </x:c>
      <x:c r="X18" s="11" t="n">
        <x:v>0</x:v>
      </x:c>
      <x:c r="Y18" s="12" t="n">
        <x:v>18</x:v>
      </x:c>
      <x:c r="Z18" s="11" t="n">
        <x:f>INT(W18*Y18+0.5)/100</x:f>
        <x:v>459.9</x:v>
      </x:c>
      <x:c r="AA18" s="12" t="n">
        <x:v>0</x:v>
      </x:c>
      <x:c r="AB18" s="11" t="n">
        <x:f>INT(W18*AA18+0.5)/100</x:f>
        <x:v>0</x:v>
      </x:c>
      <x:c r="AC18" s="12" t="n">
        <x:v>0</x:v>
      </x:c>
      <x:c r="AD18" s="11" t="n">
        <x:f>INT(W18*AC18+0.5)/100</x:f>
        <x:v>0</x:v>
      </x:c>
      <x:c r="AE18" s="11" t="n">
        <x:f>INT(SUM(Z18,AB18,AD18)*100+0.5)/100</x:f>
        <x:v>459.9</x:v>
      </x:c>
      <x:c r="AF18" s="11" t="n">
        <x:v>0</x:v>
      </x:c>
      <x:c r="AG18" s="11" t="n">
        <x:f>INT((W18-X18+AE18+AF18)*100+0.5)/100</x:f>
        <x:v>3014.9</x:v>
      </x:c>
      <x:c r="AH18" s="3" t="str">
        <x:v>Synthetic DataBridge Demo</x:v>
      </x:c>
    </x:row>
    <x:row r="19" ht="21" customHeight="1">
      <x:c r="A19" s="3" t="str">
        <x:v>ABNAH Cafe Connaught Place</x:v>
      </x:c>
      <x:c r="B19" s="3" t="str">
        <x:v>GK2 Main Store</x:v>
      </x:c>
      <x:c r="C19" s="3" t="str">
        <x:v>demo.operator</x:v>
      </x:c>
      <x:c r="D19" s="3" t="str">
        <x:v>FreshDairy India Pvt Ltd</x:v>
      </x:c>
      <x:c r="E19" s="9" t="n">
        <x:v>46228</x:v>
      </x:c>
      <x:c r="F19" s="3" t="str">
        <x:v>GRN-W0306</x:v>
      </x:c>
      <x:c r="G19" s="3" t="str">
        <x:v>INV-W0306</x:v>
      </x:c>
      <x:c r="H19" s="3" t="str">
        <x:v>BATCH-W0306</x:v>
      </x:c>
      <x:c r="I19" s="3" t="str">
        <x:v>PR-W0306</x:v>
      </x:c>
      <x:c r="J19" s="3" t="str">
        <x:v>PO-W0306</x:v>
      </x:c>
      <x:c r="K19" s="9" t="n">
        <x:v>46228</x:v>
      </x:c>
      <x:c r="L19" s="3" t="str">
        <x:v>RM001</x:v>
      </x:c>
      <x:c r="M19" s="3" t="str">
        <x:v>Whole Milk</x:v>
      </x:c>
      <x:c r="N19" s="3" t="str">
        <x:v>FreshDairy</x:v>
      </x:c>
      <x:c r="O19" s="3" t="str">
        <x:v>Dairy</x:v>
      </x:c>
      <x:c r="P19" s="3" t="str">
        <x:v>InGoodCo</x:v>
      </x:c>
      <x:c r="Q19" s="3" t="str">
        <x:v>Synthetic week 3 receipt</x:v>
      </x:c>
      <x:c r="R19" s="10" t="n">
        <x:v>45</x:v>
      </x:c>
      <x:c r="S19" s="3" t="str">
        <x:v>LTR</x:v>
      </x:c>
      <x:c r="T19" s="11" t="n">
        <x:v>64.9</x:v>
      </x:c>
      <x:c r="U19" s="11" t="n">
        <x:v>59</x:v>
      </x:c>
      <x:c r="V19" s="3" t="str"/>
      <x:c r="W19" s="11" t="n">
        <x:f>INT(R19*U19*100+0.5)/100</x:f>
        <x:v>2655</x:v>
      </x:c>
      <x:c r="X19" s="11" t="n">
        <x:v>0</x:v>
      </x:c>
      <x:c r="Y19" s="12" t="n">
        <x:v>5</x:v>
      </x:c>
      <x:c r="Z19" s="11" t="n">
        <x:f>INT(W19*Y19+0.5)/100</x:f>
        <x:v>132.75</x:v>
      </x:c>
      <x:c r="AA19" s="12" t="n">
        <x:v>0</x:v>
      </x:c>
      <x:c r="AB19" s="11" t="n">
        <x:f>INT(W19*AA19+0.5)/100</x:f>
        <x:v>0</x:v>
      </x:c>
      <x:c r="AC19" s="12" t="n">
        <x:v>0</x:v>
      </x:c>
      <x:c r="AD19" s="11" t="n">
        <x:f>INT(W19*AC19+0.5)/100</x:f>
        <x:v>0</x:v>
      </x:c>
      <x:c r="AE19" s="11" t="n">
        <x:f>INT(SUM(Z19,AB19,AD19)*100+0.5)/100</x:f>
        <x:v>132.75</x:v>
      </x:c>
      <x:c r="AF19" s="11" t="n">
        <x:v>0</x:v>
      </x:c>
      <x:c r="AG19" s="11" t="n">
        <x:f>INT((W19-X19+AE19+AF19)*100+0.5)/100</x:f>
        <x:v>2787.75</x:v>
      </x:c>
      <x:c r="AH19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844efb72438f4a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46215</x:v>
      </x:c>
      <x:c r="C2" s="9" t="n">
        <x:v>46215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56.43</x:v>
      </x:c>
      <x:c r="M2" s="10" t="n">
        <x:v>28</x:v>
      </x:c>
      <x:c r="N2" s="10" t="n">
        <x:f>M2</x:f>
        <x:v>28</x:v>
      </x:c>
      <x:c r="O2" s="11" t="n">
        <x:f>INT(L2*N2*100+0.5)/100</x:f>
        <x:v>1580.04</x:v>
      </x:c>
    </x:row>
    <x:row r="3" ht="21" customHeight="1">
      <x:c r="A3" s="3" t="str">
        <x:v>ABNAH Cafe Connaught Place</x:v>
      </x:c>
      <x:c r="B3" s="9" t="n">
        <x:v>46215</x:v>
      </x:c>
      <x:c r="C3" s="9" t="n">
        <x:v>46215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720</x:v>
      </x:c>
      <x:c r="M3" s="10" t="n">
        <x:v>14</x:v>
      </x:c>
      <x:c r="N3" s="10" t="n">
        <x:f>M3</x:f>
        <x:v>14</x:v>
      </x:c>
      <x:c r="O3" s="11" t="n">
        <x:f>INT(L3*N3*100+0.5)/100</x:f>
        <x:v>10080</x:v>
      </x:c>
    </x:row>
    <x:row r="4" ht="21" customHeight="1">
      <x:c r="A4" s="3" t="str">
        <x:v>ABNAH Cafe Connaught Place</x:v>
      </x:c>
      <x:c r="B4" s="9" t="n">
        <x:v>46215</x:v>
      </x:c>
      <x:c r="C4" s="9" t="n">
        <x:v>46215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</x:v>
      </x:c>
      <x:c r="M4" s="10" t="n">
        <x:v>35</x:v>
      </x:c>
      <x:c r="N4" s="10" t="n">
        <x:f>M4</x:f>
        <x:v>35</x:v>
      </x:c>
      <x:c r="O4" s="11" t="n">
        <x:f>INT(L4*N4*100+0.5)/100</x:f>
        <x:v>1540</x:v>
      </x:c>
    </x:row>
    <x:row r="5" ht="21" customHeight="1">
      <x:c r="A5" s="3" t="str">
        <x:v>ABNAH Cafe Connaught Place</x:v>
      </x:c>
      <x:c r="B5" s="9" t="n">
        <x:v>46215</x:v>
      </x:c>
      <x:c r="C5" s="9" t="n">
        <x:v>46215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180</x:v>
      </x:c>
      <x:c r="M5" s="10" t="n">
        <x:v>12</x:v>
      </x:c>
      <x:c r="N5" s="10" t="n">
        <x:f>M5</x:f>
        <x:v>12</x:v>
      </x:c>
      <x:c r="O5" s="11" t="n">
        <x:f>INT(L5*N5*100+0.5)/100</x:f>
        <x:v>2160</x:v>
      </x:c>
    </x:row>
    <x:row r="6" ht="21" customHeight="1">
      <x:c r="A6" s="3" t="str">
        <x:v>ABNAH Cafe Connaught Place</x:v>
      </x:c>
      <x:c r="B6" s="9" t="n">
        <x:v>46215</x:v>
      </x:c>
      <x:c r="C6" s="9" t="n">
        <x:v>46215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</x:v>
      </x:c>
      <x:c r="M6" s="10" t="n">
        <x:v>380</x:v>
      </x:c>
      <x:c r="N6" s="10" t="n">
        <x:f>M6</x:f>
        <x:v>380</x:v>
      </x:c>
      <x:c r="O6" s="11" t="n">
        <x:f>INT(L6*N6*100+0.5)/100</x:f>
        <x:v>1216</x:v>
      </x:c>
    </x:row>
    <x:row r="7" ht="21" customHeight="1">
      <x:c r="A7" s="3" t="str">
        <x:v>ABNAH Cafe Connaught Place</x:v>
      </x:c>
      <x:c r="B7" s="9" t="n">
        <x:v>46222</x:v>
      </x:c>
      <x:c r="C7" s="9" t="n">
        <x:v>46222</x:v>
      </x:c>
      <x:c r="D7" s="3" t="str">
        <x:v>23:59:00</x:v>
      </x:c>
      <x:c r="E7" s="3" t="str">
        <x:v>RM001</x:v>
      </x:c>
      <x:c r="F7" s="3" t="str">
        <x:v>Whole Milk</x:v>
      </x:c>
      <x:c r="G7" s="3" t="str">
        <x:v>INGC</x:v>
      </x:c>
      <x:c r="H7" s="3" t="str">
        <x:v>InGoodCo</x:v>
      </x:c>
      <x:c r="I7" s="3" t="str">
        <x:v>DAIRY</x:v>
      </x:c>
      <x:c r="J7" s="3" t="str">
        <x:v>Dairy</x:v>
      </x:c>
      <x:c r="K7" s="3" t="str">
        <x:v>LTR</x:v>
      </x:c>
      <x:c r="L7" s="11" t="n">
        <x:v>57.5</x:v>
      </x:c>
      <x:c r="M7" s="10" t="n">
        <x:v>18</x:v>
      </x:c>
      <x:c r="N7" s="10" t="n">
        <x:f>M7</x:f>
        <x:v>18</x:v>
      </x:c>
      <x:c r="O7" s="11" t="n">
        <x:f>INT(L7*N7*100+0.5)/100</x:f>
        <x:v>1035</x:v>
      </x:c>
    </x:row>
    <x:row r="8" ht="21" customHeight="1">
      <x:c r="A8" s="3" t="str">
        <x:v>ABNAH Cafe Connaught Place</x:v>
      </x:c>
      <x:c r="B8" s="9" t="n">
        <x:v>46222</x:v>
      </x:c>
      <x:c r="C8" s="9" t="n">
        <x:v>46222</x:v>
      </x:c>
      <x:c r="D8" s="3" t="str">
        <x:v>23:59:00</x:v>
      </x:c>
      <x:c r="E8" s="3" t="str">
        <x:v>RM002</x:v>
      </x:c>
      <x:c r="F8" s="3" t="str">
        <x:v>Arabica Coffee Beans</x:v>
      </x:c>
      <x:c r="G8" s="3" t="str">
        <x:v>INGC</x:v>
      </x:c>
      <x:c r="H8" s="3" t="str">
        <x:v>InGoodCo</x:v>
      </x:c>
      <x:c r="I8" s="3" t="str">
        <x:v>BEV-IN</x:v>
      </x:c>
      <x:c r="J8" s="3" t="str">
        <x:v>Beverage Inputs</x:v>
      </x:c>
      <x:c r="K8" s="3" t="str">
        <x:v>KG</x:v>
      </x:c>
      <x:c r="L8" s="11" t="n">
        <x:v>742.34</x:v>
      </x:c>
      <x:c r="M8" s="10" t="n">
        <x:v>8</x:v>
      </x:c>
      <x:c r="N8" s="10" t="n">
        <x:f>M8</x:f>
        <x:v>8</x:v>
      </x:c>
      <x:c r="O8" s="11" t="n">
        <x:f>INT(L8*N8*100+0.5)/100</x:f>
        <x:v>5938.72</x:v>
      </x:c>
    </x:row>
    <x:row r="9" ht="21" customHeight="1">
      <x:c r="A9" s="3" t="str">
        <x:v>ABNAH Cafe Connaught Place</x:v>
      </x:c>
      <x:c r="B9" s="9" t="n">
        <x:v>46222</x:v>
      </x:c>
      <x:c r="C9" s="9" t="n">
        <x:v>46222</x:v>
      </x:c>
      <x:c r="D9" s="3" t="str">
        <x:v>23:59:00</x:v>
      </x:c>
      <x:c r="E9" s="3" t="str">
        <x:v>RM003</x:v>
      </x:c>
      <x:c r="F9" s="3" t="str">
        <x:v>Refined Sugar</x:v>
      </x:c>
      <x:c r="G9" s="3" t="str">
        <x:v>INGC</x:v>
      </x:c>
      <x:c r="H9" s="3" t="str">
        <x:v>InGoodCo</x:v>
      </x:c>
      <x:c r="I9" s="3" t="str">
        <x:v>GROC</x:v>
      </x:c>
      <x:c r="J9" s="3" t="str">
        <x:v>Grocery</x:v>
      </x:c>
      <x:c r="K9" s="3" t="str">
        <x:v>KG</x:v>
      </x:c>
      <x:c r="L9" s="11" t="n">
        <x:v>44.56</x:v>
      </x:c>
      <x:c r="M9" s="10" t="n">
        <x:v>30</x:v>
      </x:c>
      <x:c r="N9" s="10" t="n">
        <x:f>M9</x:f>
        <x:v>30</x:v>
      </x:c>
      <x:c r="O9" s="11" t="n">
        <x:f>INT(L9*N9*100+0.5)/100</x:f>
        <x:v>1336.8</x:v>
      </x:c>
    </x:row>
    <x:row r="10" ht="21" customHeight="1">
      <x:c r="A10" s="3" t="str">
        <x:v>ABNAH Cafe Connaught Place</x:v>
      </x:c>
      <x:c r="B10" s="9" t="n">
        <x:v>46222</x:v>
      </x:c>
      <x:c r="C10" s="9" t="n">
        <x:v>46222</x:v>
      </x:c>
      <x:c r="D10" s="3" t="str">
        <x:v>23:59:00</x:v>
      </x:c>
      <x:c r="E10" s="3" t="str">
        <x:v>RM004</x:v>
      </x:c>
      <x:c r="F10" s="3" t="str">
        <x:v>Vanilla Cake Base</x:v>
      </x:c>
      <x:c r="G10" s="3" t="str">
        <x:v>INGC</x:v>
      </x:c>
      <x:c r="H10" s="3" t="str">
        <x:v>InGoodCo</x:v>
      </x:c>
      <x:c r="I10" s="3" t="str">
        <x:v>BAKE</x:v>
      </x:c>
      <x:c r="J10" s="3" t="str">
        <x:v>Bakery Inputs</x:v>
      </x:c>
      <x:c r="K10" s="3" t="str">
        <x:v>KG</x:v>
      </x:c>
      <x:c r="L10" s="11" t="n">
        <x:v>182.67</x:v>
      </x:c>
      <x:c r="M10" s="10" t="n">
        <x:v>6</x:v>
      </x:c>
      <x:c r="N10" s="10" t="n">
        <x:f>M10</x:f>
        <x:v>6</x:v>
      </x:c>
      <x:c r="O10" s="11" t="n">
        <x:f>INT(L10*N10*100+0.5)/100</x:f>
        <x:v>1096.02</x:v>
      </x:c>
    </x:row>
    <x:row r="11" ht="21" customHeight="1">
      <x:c r="A11" s="3" t="str">
        <x:v>ABNAH Cafe Connaught Place</x:v>
      </x:c>
      <x:c r="B11" s="9" t="n">
        <x:v>46222</x:v>
      </x:c>
      <x:c r="C11" s="9" t="n">
        <x:v>46222</x:v>
      </x:c>
      <x:c r="D11" s="3" t="str">
        <x:v>23:59:00</x:v>
      </x:c>
      <x:c r="E11" s="3" t="str">
        <x:v>RM005</x:v>
      </x:c>
      <x:c r="F11" s="3" t="str">
        <x:v>12 oz Paper Cup</x:v>
      </x:c>
      <x:c r="G11" s="3" t="str">
        <x:v>INGC</x:v>
      </x:c>
      <x:c r="H11" s="3" t="str">
        <x:v>InGoodCo</x:v>
      </x:c>
      <x:c r="I11" s="3" t="str">
        <x:v>PACK</x:v>
      </x:c>
      <x:c r="J11" s="3" t="str">
        <x:v>Packaging</x:v>
      </x:c>
      <x:c r="K11" s="3" t="str">
        <x:v>PCS</x:v>
      </x:c>
      <x:c r="L11" s="11" t="n">
        <x:v>3.23</x:v>
      </x:c>
      <x:c r="M11" s="10" t="n">
        <x:v>240</x:v>
      </x:c>
      <x:c r="N11" s="10" t="n">
        <x:f>M11</x:f>
        <x:v>240</x:v>
      </x:c>
      <x:c r="O11" s="11" t="n">
        <x:f>INT(L11*N11*100+0.5)/100</x:f>
        <x:v>775.2</x:v>
      </x:c>
    </x:row>
    <x:row r="12" ht="21" customHeight="1">
      <x:c r="A12" s="3" t="str">
        <x:v>ABNAH Cafe Connaught Place</x:v>
      </x:c>
      <x:c r="B12" s="9" t="n">
        <x:v>46229</x:v>
      </x:c>
      <x:c r="C12" s="9" t="n">
        <x:v>46229</x:v>
      </x:c>
      <x:c r="D12" s="3" t="str">
        <x:v>23:59:00</x:v>
      </x:c>
      <x:c r="E12" s="3" t="str">
        <x:v>RM001</x:v>
      </x:c>
      <x:c r="F12" s="3" t="str">
        <x:v>Whole Milk</x:v>
      </x:c>
      <x:c r="G12" s="3" t="str">
        <x:v>INGC</x:v>
      </x:c>
      <x:c r="H12" s="3" t="str">
        <x:v>InGoodCo</x:v>
      </x:c>
      <x:c r="I12" s="3" t="str">
        <x:v>DAIRY</x:v>
      </x:c>
      <x:c r="J12" s="3" t="str">
        <x:v>Dairy</x:v>
      </x:c>
      <x:c r="K12" s="3" t="str">
        <x:v>LTR</x:v>
      </x:c>
      <x:c r="L12" s="11" t="n">
        <x:v>58.42</x:v>
      </x:c>
      <x:c r="M12" s="10" t="n">
        <x:v>35</x:v>
      </x:c>
      <x:c r="N12" s="10" t="n">
        <x:f>M12</x:f>
        <x:v>35</x:v>
      </x:c>
      <x:c r="O12" s="11" t="n">
        <x:f>INT(L12*N12*100+0.5)/100</x:f>
        <x:v>2044.7</x:v>
      </x:c>
    </x:row>
    <x:row r="13" ht="21" customHeight="1">
      <x:c r="A13" s="3" t="str">
        <x:v>ABNAH Cafe Connaught Place</x:v>
      </x:c>
      <x:c r="B13" s="9" t="n">
        <x:v>46229</x:v>
      </x:c>
      <x:c r="C13" s="9" t="n">
        <x:v>46229</x:v>
      </x:c>
      <x:c r="D13" s="3" t="str">
        <x:v>23:59:00</x:v>
      </x:c>
      <x:c r="E13" s="3" t="str">
        <x:v>RM002</x:v>
      </x:c>
      <x:c r="F13" s="3" t="str">
        <x:v>Arabica Coffee Beans</x:v>
      </x:c>
      <x:c r="G13" s="3" t="str">
        <x:v>INGC</x:v>
      </x:c>
      <x:c r="H13" s="3" t="str">
        <x:v>InGoodCo</x:v>
      </x:c>
      <x:c r="I13" s="3" t="str">
        <x:v>BEV-IN</x:v>
      </x:c>
      <x:c r="J13" s="3" t="str">
        <x:v>Beverage Inputs</x:v>
      </x:c>
      <x:c r="K13" s="3" t="str">
        <x:v>KG</x:v>
      </x:c>
      <x:c r="L13" s="11" t="n">
        <x:v>801.48</x:v>
      </x:c>
      <x:c r="M13" s="10" t="n">
        <x:v>10</x:v>
      </x:c>
      <x:c r="N13" s="10" t="n">
        <x:f>M13</x:f>
        <x:v>10</x:v>
      </x:c>
      <x:c r="O13" s="11" t="n">
        <x:f>INT(L13*N13*100+0.5)/100</x:f>
        <x:v>8014.8</x:v>
      </x:c>
    </x:row>
    <x:row r="14" ht="21" customHeight="1">
      <x:c r="A14" s="3" t="str">
        <x:v>ABNAH Cafe Connaught Place</x:v>
      </x:c>
      <x:c r="B14" s="9" t="n">
        <x:v>46229</x:v>
      </x:c>
      <x:c r="C14" s="9" t="n">
        <x:v>46229</x:v>
      </x:c>
      <x:c r="D14" s="3" t="str">
        <x:v>23:59:00</x:v>
      </x:c>
      <x:c r="E14" s="3" t="str">
        <x:v>RM003</x:v>
      </x:c>
      <x:c r="F14" s="3" t="str">
        <x:v>Refined Sugar</x:v>
      </x:c>
      <x:c r="G14" s="3" t="str">
        <x:v>INGC</x:v>
      </x:c>
      <x:c r="H14" s="3" t="str">
        <x:v>InGoodCo</x:v>
      </x:c>
      <x:c r="I14" s="3" t="str">
        <x:v>GROC</x:v>
      </x:c>
      <x:c r="J14" s="3" t="str">
        <x:v>Grocery</x:v>
      </x:c>
      <x:c r="K14" s="3" t="str">
        <x:v>KG</x:v>
      </x:c>
      <x:c r="L14" s="11" t="n">
        <x:v>44.73</x:v>
      </x:c>
      <x:c r="M14" s="10" t="n">
        <x:v>24</x:v>
      </x:c>
      <x:c r="N14" s="10" t="n">
        <x:f>M14</x:f>
        <x:v>24</x:v>
      </x:c>
      <x:c r="O14" s="11" t="n">
        <x:f>INT(L14*N14*100+0.5)/100</x:f>
        <x:v>1073.52</x:v>
      </x:c>
    </x:row>
    <x:row r="15" ht="21" customHeight="1">
      <x:c r="A15" s="3" t="str">
        <x:v>ABNAH Cafe Connaught Place</x:v>
      </x:c>
      <x:c r="B15" s="9" t="n">
        <x:v>46229</x:v>
      </x:c>
      <x:c r="C15" s="9" t="n">
        <x:v>46229</x:v>
      </x:c>
      <x:c r="D15" s="3" t="str">
        <x:v>23:59:00</x:v>
      </x:c>
      <x:c r="E15" s="3" t="str">
        <x:v>RM004</x:v>
      </x:c>
      <x:c r="F15" s="3" t="str">
        <x:v>Vanilla Cake Base</x:v>
      </x:c>
      <x:c r="G15" s="3" t="str">
        <x:v>INGC</x:v>
      </x:c>
      <x:c r="H15" s="3" t="str">
        <x:v>InGoodCo</x:v>
      </x:c>
      <x:c r="I15" s="3" t="str">
        <x:v>BAKE</x:v>
      </x:c>
      <x:c r="J15" s="3" t="str">
        <x:v>Bakery Inputs</x:v>
      </x:c>
      <x:c r="K15" s="3" t="str">
        <x:v>KG</x:v>
      </x:c>
      <x:c r="L15" s="11" t="n">
        <x:v>185.58</x:v>
      </x:c>
      <x:c r="M15" s="10" t="n">
        <x:v>9</x:v>
      </x:c>
      <x:c r="N15" s="10" t="n">
        <x:f>M15</x:f>
        <x:v>9</x:v>
      </x:c>
      <x:c r="O15" s="11" t="n">
        <x:f>INT(L15*N15*100+0.5)/100</x:f>
        <x:v>1670.22</x:v>
      </x:c>
    </x:row>
    <x:row r="16" ht="21" customHeight="1">
      <x:c r="A16" s="3" t="str">
        <x:v>ABNAH Cafe Connaught Place</x:v>
      </x:c>
      <x:c r="B16" s="9" t="n">
        <x:v>46229</x:v>
      </x:c>
      <x:c r="C16" s="9" t="n">
        <x:v>46229</x:v>
      </x:c>
      <x:c r="D16" s="3" t="str">
        <x:v>23:59:00</x:v>
      </x:c>
      <x:c r="E16" s="3" t="str">
        <x:v>RM005</x:v>
      </x:c>
      <x:c r="F16" s="3" t="str">
        <x:v>12 oz Paper Cup</x:v>
      </x:c>
      <x:c r="G16" s="3" t="str">
        <x:v>INGC</x:v>
      </x:c>
      <x:c r="H16" s="3" t="str">
        <x:v>InGoodCo</x:v>
      </x:c>
      <x:c r="I16" s="3" t="str">
        <x:v>PACK</x:v>
      </x:c>
      <x:c r="J16" s="3" t="str">
        <x:v>Packaging</x:v>
      </x:c>
      <x:c r="K16" s="3" t="str">
        <x:v>PCS</x:v>
      </x:c>
      <x:c r="L16" s="11" t="n">
        <x:v>3.47</x:v>
      </x:c>
      <x:c r="M16" s="10" t="n">
        <x:v>190</x:v>
      </x:c>
      <x:c r="N16" s="10" t="n">
        <x:f>M16</x:f>
        <x:v>190</x:v>
      </x:c>
      <x:c r="O16" s="11" t="n">
        <x:f>INT(L16*N16*100+0.5)/100</x:f>
        <x:v>659.3</x:v>
      </x:c>
    </x:row>
  </x:sheetData>
  <x:pageMargins left="0.7" right="0.7" top="0.75" bottom="0.75" header="0.3" footer="0.3"/>
  <x:tableParts count="1">
    <x:tablePart xmlns:r="http://schemas.openxmlformats.org/officeDocument/2006/relationships" r:id="R967879f2975a46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DS-W01-01</x:v>
      </x:c>
      <x:c r="B2" s="3" t="str">
        <x:v>ABNAH Cafe Connaught Place</x:v>
      </x:c>
      <x:c r="C2" s="9" t="n">
        <x:v>46209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33300</x:v>
      </x:c>
      <x:c r="H2" s="11" t="n">
        <x:v>18500</x:v>
      </x:c>
      <x:c r="I2" s="11" t="n">
        <x:v>14800</x:v>
      </x:c>
      <x:c r="J2" s="11" t="n">
        <x:f>H2+I2</x:f>
        <x:v>33300</x:v>
      </x:c>
      <x:c r="K2" s="11" t="n">
        <x:v>1166</x:v>
      </x:c>
      <x:c r="L2" s="11" t="n">
        <x:v>400</x:v>
      </x:c>
      <x:c r="M2" s="11" t="n">
        <x:v>-0.25</x:v>
      </x:c>
      <x:c r="N2" s="11" t="n">
        <x:f>J2-K2+L2+M2</x:f>
        <x:v>32533.75</x:v>
      </x:c>
      <x:c r="O2" s="13" t="n">
        <x:v>124</x:v>
      </x:c>
      <x:c r="P2" s="13" t="n">
        <x:v>161</x:v>
      </x:c>
      <x:c r="Q2" s="11" t="n">
        <x:f>IF(P2=0,0,INT(N2/P2*100+0.5)/100)</x:f>
        <x:v>202.07</x:v>
      </x:c>
    </x:row>
    <x:row r="3" ht="21" customHeight="1">
      <x:c r="A3" s="3" t="str">
        <x:v>DS-W01-02</x:v>
      </x:c>
      <x:c r="B3" s="3" t="str">
        <x:v>ABNAH Cafe Connaught Place</x:v>
      </x:c>
      <x:c r="C3" s="9" t="n">
        <x:v>46210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34300</x:v>
      </x:c>
      <x:c r="H3" s="11" t="n">
        <x:v>19200</x:v>
      </x:c>
      <x:c r="I3" s="11" t="n">
        <x:v>15100</x:v>
      </x:c>
      <x:c r="J3" s="11" t="n">
        <x:f>H3+I3</x:f>
        <x:v>34300</x:v>
      </x:c>
      <x:c r="K3" s="11" t="n">
        <x:v>1201</x:v>
      </x:c>
      <x:c r="L3" s="11" t="n">
        <x:v>412</x:v>
      </x:c>
      <x:c r="M3" s="11" t="n">
        <x:v>0.25</x:v>
      </x:c>
      <x:c r="N3" s="11" t="n">
        <x:f>J3-K3+L3+M3</x:f>
        <x:v>33511.25</x:v>
      </x:c>
      <x:c r="O3" s="13" t="n">
        <x:v>128</x:v>
      </x:c>
      <x:c r="P3" s="13" t="n">
        <x:v>166</x:v>
      </x:c>
      <x:c r="Q3" s="11" t="n">
        <x:f>IF(P3=0,0,INT(N3/P3*100+0.5)/100)</x:f>
        <x:v>201.88</x:v>
      </x:c>
    </x:row>
    <x:row r="4" ht="21" customHeight="1">
      <x:c r="A4" s="3" t="str">
        <x:v>DS-W01-03</x:v>
      </x:c>
      <x:c r="B4" s="3" t="str">
        <x:v>ABNAH Cafe Connaught Place</x:v>
      </x:c>
      <x:c r="C4" s="9" t="n">
        <x:v>46211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35200</x:v>
      </x:c>
      <x:c r="H4" s="11" t="n">
        <x:v>19800</x:v>
      </x:c>
      <x:c r="I4" s="11" t="n">
        <x:v>15400</x:v>
      </x:c>
      <x:c r="J4" s="11" t="n">
        <x:f>H4+I4</x:f>
        <x:v>35200</x:v>
      </x:c>
      <x:c r="K4" s="11" t="n">
        <x:v>1232</x:v>
      </x:c>
      <x:c r="L4" s="11" t="n">
        <x:v>422</x:v>
      </x:c>
      <x:c r="M4" s="11" t="n">
        <x:v>-0.25</x:v>
      </x:c>
      <x:c r="N4" s="11" t="n">
        <x:f>J4-K4+L4+M4</x:f>
        <x:v>34389.75</x:v>
      </x:c>
      <x:c r="O4" s="13" t="n">
        <x:v>131</x:v>
      </x:c>
      <x:c r="P4" s="13" t="n">
        <x:v>170</x:v>
      </x:c>
      <x:c r="Q4" s="11" t="n">
        <x:f>IF(P4=0,0,INT(N4/P4*100+0.5)/100)</x:f>
        <x:v>202.29</x:v>
      </x:c>
    </x:row>
    <x:row r="5" ht="21" customHeight="1">
      <x:c r="A5" s="3" t="str">
        <x:v>DS-W01-04</x:v>
      </x:c>
      <x:c r="B5" s="3" t="str">
        <x:v>ABNAH Cafe Connaught Place</x:v>
      </x:c>
      <x:c r="C5" s="9" t="n">
        <x:v>46212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36500</x:v>
      </x:c>
      <x:c r="H5" s="11" t="n">
        <x:v>20500</x:v>
      </x:c>
      <x:c r="I5" s="11" t="n">
        <x:v>16000</x:v>
      </x:c>
      <x:c r="J5" s="11" t="n">
        <x:f>H5+I5</x:f>
        <x:v>36500</x:v>
      </x:c>
      <x:c r="K5" s="11" t="n">
        <x:v>1278</x:v>
      </x:c>
      <x:c r="L5" s="11" t="n">
        <x:v>438</x:v>
      </x:c>
      <x:c r="M5" s="11" t="n">
        <x:v>0.25</x:v>
      </x:c>
      <x:c r="N5" s="11" t="n">
        <x:f>J5-K5+L5+M5</x:f>
        <x:v>35660.25</x:v>
      </x:c>
      <x:c r="O5" s="13" t="n">
        <x:v>136</x:v>
      </x:c>
      <x:c r="P5" s="13" t="n">
        <x:v>177</x:v>
      </x:c>
      <x:c r="Q5" s="11" t="n">
        <x:f>IF(P5=0,0,INT(N5/P5*100+0.5)/100)</x:f>
        <x:v>201.47</x:v>
      </x:c>
    </x:row>
    <x:row r="6" ht="21" customHeight="1">
      <x:c r="A6" s="3" t="str">
        <x:v>DS-W01-05</x:v>
      </x:c>
      <x:c r="B6" s="3" t="str">
        <x:v>ABNAH Cafe Connaught Place</x:v>
      </x:c>
      <x:c r="C6" s="9" t="n">
        <x:v>46213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38900</x:v>
      </x:c>
      <x:c r="H6" s="11" t="n">
        <x:v>21800</x:v>
      </x:c>
      <x:c r="I6" s="11" t="n">
        <x:v>17100</x:v>
      </x:c>
      <x:c r="J6" s="11" t="n">
        <x:f>H6+I6</x:f>
        <x:v>38900</x:v>
      </x:c>
      <x:c r="K6" s="11" t="n">
        <x:v>1362</x:v>
      </x:c>
      <x:c r="L6" s="11" t="n">
        <x:v>467</x:v>
      </x:c>
      <x:c r="M6" s="11" t="n">
        <x:v>-0.25</x:v>
      </x:c>
      <x:c r="N6" s="11" t="n">
        <x:f>J6-K6+L6+M6</x:f>
        <x:v>38004.75</x:v>
      </x:c>
      <x:c r="O6" s="13" t="n">
        <x:v>145</x:v>
      </x:c>
      <x:c r="P6" s="13" t="n">
        <x:v>188</x:v>
      </x:c>
      <x:c r="Q6" s="11" t="n">
        <x:f>IF(P6=0,0,INT(N6/P6*100+0.5)/100)</x:f>
        <x:v>202.15</x:v>
      </x:c>
    </x:row>
    <x:row r="7" ht="21" customHeight="1">
      <x:c r="A7" s="3" t="str">
        <x:v>DS-W01-06</x:v>
      </x:c>
      <x:c r="B7" s="3" t="str">
        <x:v>ABNAH Cafe Connaught Place</x:v>
      </x:c>
      <x:c r="C7" s="9" t="n">
        <x:v>46214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47900</x:v>
      </x:c>
      <x:c r="H7" s="11" t="n">
        <x:v>26400</x:v>
      </x:c>
      <x:c r="I7" s="11" t="n">
        <x:v>21500</x:v>
      </x:c>
      <x:c r="J7" s="11" t="n">
        <x:f>H7+I7</x:f>
        <x:v>47900</x:v>
      </x:c>
      <x:c r="K7" s="11" t="n">
        <x:v>1677</x:v>
      </x:c>
      <x:c r="L7" s="11" t="n">
        <x:v>575</x:v>
      </x:c>
      <x:c r="M7" s="11" t="n">
        <x:v>0.25</x:v>
      </x:c>
      <x:c r="N7" s="11" t="n">
        <x:f>J7-K7+L7+M7</x:f>
        <x:v>46798.25</x:v>
      </x:c>
      <x:c r="O7" s="13" t="n">
        <x:v>176</x:v>
      </x:c>
      <x:c r="P7" s="13" t="n">
        <x:v>226</x:v>
      </x:c>
      <x:c r="Q7" s="11" t="n">
        <x:f>IF(P7=0,0,INT(N7/P7*100+0.5)/100)</x:f>
        <x:v>207.07</x:v>
      </x:c>
    </x:row>
    <x:row r="8" ht="21" customHeight="1">
      <x:c r="A8" s="3" t="str">
        <x:v>DS-W01-07</x:v>
      </x:c>
      <x:c r="B8" s="3" t="str">
        <x:v>ABNAH Cafe Connaught Place</x:v>
      </x:c>
      <x:c r="C8" s="9" t="n">
        <x:v>46215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50800</x:v>
      </x:c>
      <x:c r="H8" s="11" t="n">
        <x:v>27900</x:v>
      </x:c>
      <x:c r="I8" s="11" t="n">
        <x:v>22900</x:v>
      </x:c>
      <x:c r="J8" s="11" t="n">
        <x:f>H8+I8</x:f>
        <x:v>50800</x:v>
      </x:c>
      <x:c r="K8" s="11" t="n">
        <x:v>1778</x:v>
      </x:c>
      <x:c r="L8" s="11" t="n">
        <x:v>610</x:v>
      </x:c>
      <x:c r="M8" s="11" t="n">
        <x:v>-0.25</x:v>
      </x:c>
      <x:c r="N8" s="11" t="n">
        <x:f>J8-K8+L8+M8</x:f>
        <x:v>49631.75</x:v>
      </x:c>
      <x:c r="O8" s="13" t="n">
        <x:v>189</x:v>
      </x:c>
      <x:c r="P8" s="13" t="n">
        <x:v>242</x:v>
      </x:c>
      <x:c r="Q8" s="11" t="n">
        <x:f>IF(P8=0,0,INT(N8/P8*100+0.5)/100)</x:f>
        <x:v>205.09</x:v>
      </x:c>
    </x:row>
    <x:row r="9" ht="21" customHeight="1">
      <x:c r="A9" s="3" t="str">
        <x:v>DS-W02-01</x:v>
      </x:c>
      <x:c r="B9" s="3" t="str">
        <x:v>ABNAH Cafe Connaught Place</x:v>
      </x:c>
      <x:c r="C9" s="9" t="n">
        <x:v>46216</x:v>
      </x:c>
      <x:c r="D9" s="3" t="str">
        <x:v>All Day</x:v>
      </x:c>
      <x:c r="E9" s="3" t="str">
        <x:v>00:00-23:59</x:v>
      </x:c>
      <x:c r="F9" s="3" t="str">
        <x:v>Dine-in + Delivery</x:v>
      </x:c>
      <x:c r="G9" s="11" t="n">
        <x:f>H9+I9</x:f>
        <x:v>36000</x:v>
      </x:c>
      <x:c r="H9" s="11" t="n">
        <x:v>20100</x:v>
      </x:c>
      <x:c r="I9" s="11" t="n">
        <x:v>15900</x:v>
      </x:c>
      <x:c r="J9" s="11" t="n">
        <x:f>H9+I9</x:f>
        <x:v>36000</x:v>
      </x:c>
      <x:c r="K9" s="11" t="n">
        <x:v>1260</x:v>
      </x:c>
      <x:c r="L9" s="11" t="n">
        <x:v>432</x:v>
      </x:c>
      <x:c r="M9" s="11" t="n">
        <x:v>-0.25</x:v>
      </x:c>
      <x:c r="N9" s="11" t="n">
        <x:f>J9-K9+L9+M9</x:f>
        <x:v>35171.75</x:v>
      </x:c>
      <x:c r="O9" s="13" t="n">
        <x:v>131</x:v>
      </x:c>
      <x:c r="P9" s="13" t="n">
        <x:v>170</x:v>
      </x:c>
      <x:c r="Q9" s="11" t="n">
        <x:f>IF(P9=0,0,INT(N9/P9*100+0.5)/100)</x:f>
        <x:v>206.89</x:v>
      </x:c>
    </x:row>
    <x:row r="10" ht="21" customHeight="1">
      <x:c r="A10" s="3" t="str">
        <x:v>DS-W02-02</x:v>
      </x:c>
      <x:c r="B10" s="3" t="str">
        <x:v>ABNAH Cafe Connaught Place</x:v>
      </x:c>
      <x:c r="C10" s="9" t="n">
        <x:v>46217</x:v>
      </x:c>
      <x:c r="D10" s="3" t="str">
        <x:v>All Day</x:v>
      </x:c>
      <x:c r="E10" s="3" t="str">
        <x:v>00:00-23:59</x:v>
      </x:c>
      <x:c r="F10" s="3" t="str">
        <x:v>Dine-in + Delivery</x:v>
      </x:c>
      <x:c r="G10" s="11" t="n">
        <x:f>H10+I10</x:f>
        <x:v>37000</x:v>
      </x:c>
      <x:c r="H10" s="11" t="n">
        <x:v>20700</x:v>
      </x:c>
      <x:c r="I10" s="11" t="n">
        <x:v>16300</x:v>
      </x:c>
      <x:c r="J10" s="11" t="n">
        <x:f>H10+I10</x:f>
        <x:v>37000</x:v>
      </x:c>
      <x:c r="K10" s="11" t="n">
        <x:v>1295</x:v>
      </x:c>
      <x:c r="L10" s="11" t="n">
        <x:v>444</x:v>
      </x:c>
      <x:c r="M10" s="11" t="n">
        <x:v>0.25</x:v>
      </x:c>
      <x:c r="N10" s="11" t="n">
        <x:f>J10-K10+L10+M10</x:f>
        <x:v>36149.25</x:v>
      </x:c>
      <x:c r="O10" s="13" t="n">
        <x:v>136</x:v>
      </x:c>
      <x:c r="P10" s="13" t="n">
        <x:v>176</x:v>
      </x:c>
      <x:c r="Q10" s="11" t="n">
        <x:f>IF(P10=0,0,INT(N10/P10*100+0.5)/100)</x:f>
        <x:v>205.39</x:v>
      </x:c>
    </x:row>
    <x:row r="11" ht="21" customHeight="1">
      <x:c r="A11" s="3" t="str">
        <x:v>DS-W02-03</x:v>
      </x:c>
      <x:c r="B11" s="3" t="str">
        <x:v>ABNAH Cafe Connaught Place</x:v>
      </x:c>
      <x:c r="C11" s="9" t="n">
        <x:v>46218</x:v>
      </x:c>
      <x:c r="D11" s="3" t="str">
        <x:v>All Day</x:v>
      </x:c>
      <x:c r="E11" s="3" t="str">
        <x:v>00:00-23:59</x:v>
      </x:c>
      <x:c r="F11" s="3" t="str">
        <x:v>Dine-in + Delivery</x:v>
      </x:c>
      <x:c r="G11" s="11" t="n">
        <x:f>H11+I11</x:f>
        <x:v>38200</x:v>
      </x:c>
      <x:c r="H11" s="11" t="n">
        <x:v>21400</x:v>
      </x:c>
      <x:c r="I11" s="11" t="n">
        <x:v>16800</x:v>
      </x:c>
      <x:c r="J11" s="11" t="n">
        <x:f>H11+I11</x:f>
        <x:v>38200</x:v>
      </x:c>
      <x:c r="K11" s="11" t="n">
        <x:v>1337</x:v>
      </x:c>
      <x:c r="L11" s="11" t="n">
        <x:v>458</x:v>
      </x:c>
      <x:c r="M11" s="11" t="n">
        <x:v>-0.25</x:v>
      </x:c>
      <x:c r="N11" s="11" t="n">
        <x:f>J11-K11+L11+M11</x:f>
        <x:v>37320.75</x:v>
      </x:c>
      <x:c r="O11" s="13" t="n">
        <x:v>140</x:v>
      </x:c>
      <x:c r="P11" s="13" t="n">
        <x:v>181</x:v>
      </x:c>
      <x:c r="Q11" s="11" t="n">
        <x:f>IF(P11=0,0,INT(N11/P11*100+0.5)/100)</x:f>
        <x:v>206.19</x:v>
      </x:c>
    </x:row>
    <x:row r="12" ht="21" customHeight="1">
      <x:c r="A12" s="3" t="str">
        <x:v>DS-W02-04</x:v>
      </x:c>
      <x:c r="B12" s="3" t="str">
        <x:v>ABNAH Cafe Connaught Place</x:v>
      </x:c>
      <x:c r="C12" s="9" t="n">
        <x:v>46219</x:v>
      </x:c>
      <x:c r="D12" s="3" t="str">
        <x:v>All Day</x:v>
      </x:c>
      <x:c r="E12" s="3" t="str">
        <x:v>00:00-23:59</x:v>
      </x:c>
      <x:c r="F12" s="3" t="str">
        <x:v>Dine-in + Delivery</x:v>
      </x:c>
      <x:c r="G12" s="11" t="n">
        <x:f>H12+I12</x:f>
        <x:v>39400</x:v>
      </x:c>
      <x:c r="H12" s="11" t="n">
        <x:v>22000</x:v>
      </x:c>
      <x:c r="I12" s="11" t="n">
        <x:v>17400</x:v>
      </x:c>
      <x:c r="J12" s="11" t="n">
        <x:f>H12+I12</x:f>
        <x:v>39400</x:v>
      </x:c>
      <x:c r="K12" s="11" t="n">
        <x:v>1379</x:v>
      </x:c>
      <x:c r="L12" s="11" t="n">
        <x:v>473</x:v>
      </x:c>
      <x:c r="M12" s="11" t="n">
        <x:v>0.25</x:v>
      </x:c>
      <x:c r="N12" s="11" t="n">
        <x:f>J12-K12+L12+M12</x:f>
        <x:v>38494.25</x:v>
      </x:c>
      <x:c r="O12" s="13" t="n">
        <x:v>145</x:v>
      </x:c>
      <x:c r="P12" s="13" t="n">
        <x:v>188</x:v>
      </x:c>
      <x:c r="Q12" s="11" t="n">
        <x:f>IF(P12=0,0,INT(N12/P12*100+0.5)/100)</x:f>
        <x:v>204.76</x:v>
      </x:c>
    </x:row>
    <x:row r="13" ht="21" customHeight="1">
      <x:c r="A13" s="3" t="str">
        <x:v>DS-W02-05</x:v>
      </x:c>
      <x:c r="B13" s="3" t="str">
        <x:v>ABNAH Cafe Connaught Place</x:v>
      </x:c>
      <x:c r="C13" s="9" t="n">
        <x:v>46220</x:v>
      </x:c>
      <x:c r="D13" s="3" t="str">
        <x:v>All Day</x:v>
      </x:c>
      <x:c r="E13" s="3" t="str">
        <x:v>00:00-23:59</x:v>
      </x:c>
      <x:c r="F13" s="3" t="str">
        <x:v>Dine-in + Delivery</x:v>
      </x:c>
      <x:c r="G13" s="11" t="n">
        <x:f>H13+I13</x:f>
        <x:v>42400</x:v>
      </x:c>
      <x:c r="H13" s="11" t="n">
        <x:v>23800</x:v>
      </x:c>
      <x:c r="I13" s="11" t="n">
        <x:v>18600</x:v>
      </x:c>
      <x:c r="J13" s="11" t="n">
        <x:f>H13+I13</x:f>
        <x:v>42400</x:v>
      </x:c>
      <x:c r="K13" s="11" t="n">
        <x:v>1484</x:v>
      </x:c>
      <x:c r="L13" s="11" t="n">
        <x:v>509</x:v>
      </x:c>
      <x:c r="M13" s="11" t="n">
        <x:v>-0.25</x:v>
      </x:c>
      <x:c r="N13" s="11" t="n">
        <x:f>J13-K13+L13+M13</x:f>
        <x:v>41424.75</x:v>
      </x:c>
      <x:c r="O13" s="13" t="n">
        <x:v>156</x:v>
      </x:c>
      <x:c r="P13" s="13" t="n">
        <x:v>202</x:v>
      </x:c>
      <x:c r="Q13" s="11" t="n">
        <x:f>IF(P13=0,0,INT(N13/P13*100+0.5)/100)</x:f>
        <x:v>205.07</x:v>
      </x:c>
    </x:row>
    <x:row r="14" ht="21" customHeight="1">
      <x:c r="A14" s="3" t="str">
        <x:v>DS-W02-06</x:v>
      </x:c>
      <x:c r="B14" s="3" t="str">
        <x:v>ABNAH Cafe Connaught Place</x:v>
      </x:c>
      <x:c r="C14" s="9" t="n">
        <x:v>46221</x:v>
      </x:c>
      <x:c r="D14" s="3" t="str">
        <x:v>All Day</x:v>
      </x:c>
      <x:c r="E14" s="3" t="str">
        <x:v>00:00-23:59</x:v>
      </x:c>
      <x:c r="F14" s="3" t="str">
        <x:v>Dine-in + Delivery</x:v>
      </x:c>
      <x:c r="G14" s="11" t="n">
        <x:f>H14+I14</x:f>
        <x:v>51500</x:v>
      </x:c>
      <x:c r="H14" s="11" t="n">
        <x:v>28600</x:v>
      </x:c>
      <x:c r="I14" s="11" t="n">
        <x:v>22900</x:v>
      </x:c>
      <x:c r="J14" s="11" t="n">
        <x:f>H14+I14</x:f>
        <x:v>51500</x:v>
      </x:c>
      <x:c r="K14" s="11" t="n">
        <x:v>1803</x:v>
      </x:c>
      <x:c r="L14" s="11" t="n">
        <x:v>618</x:v>
      </x:c>
      <x:c r="M14" s="11" t="n">
        <x:v>0.25</x:v>
      </x:c>
      <x:c r="N14" s="11" t="n">
        <x:f>J14-K14+L14+M14</x:f>
        <x:v>50315.25</x:v>
      </x:c>
      <x:c r="O14" s="13" t="n">
        <x:v>188</x:v>
      </x:c>
      <x:c r="P14" s="13" t="n">
        <x:v>242</x:v>
      </x:c>
      <x:c r="Q14" s="11" t="n">
        <x:f>IF(P14=0,0,INT(N14/P14*100+0.5)/100)</x:f>
        <x:v>207.91</x:v>
      </x:c>
    </x:row>
    <x:row r="15" ht="21" customHeight="1">
      <x:c r="A15" s="3" t="str">
        <x:v>DS-W02-07</x:v>
      </x:c>
      <x:c r="B15" s="3" t="str">
        <x:v>ABNAH Cafe Connaught Place</x:v>
      </x:c>
      <x:c r="C15" s="9" t="n">
        <x:v>46222</x:v>
      </x:c>
      <x:c r="D15" s="3" t="str">
        <x:v>All Day</x:v>
      </x:c>
      <x:c r="E15" s="3" t="str">
        <x:v>00:00-23:59</x:v>
      </x:c>
      <x:c r="F15" s="3" t="str">
        <x:v>Dine-in + Delivery</x:v>
      </x:c>
      <x:c r="G15" s="11" t="n">
        <x:f>H15+I15</x:f>
        <x:v>54500</x:v>
      </x:c>
      <x:c r="H15" s="11" t="n">
        <x:v>30100</x:v>
      </x:c>
      <x:c r="I15" s="11" t="n">
        <x:v>24400</x:v>
      </x:c>
      <x:c r="J15" s="11" t="n">
        <x:f>H15+I15</x:f>
        <x:v>54500</x:v>
      </x:c>
      <x:c r="K15" s="11" t="n">
        <x:v>1908</x:v>
      </x:c>
      <x:c r="L15" s="11" t="n">
        <x:v>654</x:v>
      </x:c>
      <x:c r="M15" s="11" t="n">
        <x:v>-0.25</x:v>
      </x:c>
      <x:c r="N15" s="11" t="n">
        <x:f>J15-K15+L15+M15</x:f>
        <x:v>53245.75</x:v>
      </x:c>
      <x:c r="O15" s="13" t="n">
        <x:v>201</x:v>
      </x:c>
      <x:c r="P15" s="13" t="n">
        <x:v>259</x:v>
      </x:c>
      <x:c r="Q15" s="11" t="n">
        <x:f>IF(P15=0,0,INT(N15/P15*100+0.5)/100)</x:f>
        <x:v>205.58</x:v>
      </x:c>
    </x:row>
    <x:row r="16" ht="21" customHeight="1">
      <x:c r="A16" s="3" t="str">
        <x:v>DS-W03-01</x:v>
      </x:c>
      <x:c r="B16" s="3" t="str">
        <x:v>ABNAH Cafe Connaught Place</x:v>
      </x:c>
      <x:c r="C16" s="9" t="n">
        <x:v>46223</x:v>
      </x:c>
      <x:c r="D16" s="3" t="str">
        <x:v>All Day</x:v>
      </x:c>
      <x:c r="E16" s="3" t="str">
        <x:v>00:00-23:59</x:v>
      </x:c>
      <x:c r="F16" s="3" t="str">
        <x:v>Dine-in + Delivery</x:v>
      </x:c>
      <x:c r="G16" s="11" t="n">
        <x:f>H16+I16</x:f>
        <x:v>37300</x:v>
      </x:c>
      <x:c r="H16" s="11" t="n">
        <x:v>20800</x:v>
      </x:c>
      <x:c r="I16" s="11" t="n">
        <x:v>16500</x:v>
      </x:c>
      <x:c r="J16" s="11" t="n">
        <x:f>H16+I16</x:f>
        <x:v>37300</x:v>
      </x:c>
      <x:c r="K16" s="11" t="n">
        <x:v>1306</x:v>
      </x:c>
      <x:c r="L16" s="11" t="n">
        <x:v>448</x:v>
      </x:c>
      <x:c r="M16" s="11" t="n">
        <x:v>-0.25</x:v>
      </x:c>
      <x:c r="N16" s="11" t="n">
        <x:f>J16-K16+L16+M16</x:f>
        <x:v>36441.75</x:v>
      </x:c>
      <x:c r="O16" s="13" t="n">
        <x:v>136</x:v>
      </x:c>
      <x:c r="P16" s="13" t="n">
        <x:v>176</x:v>
      </x:c>
      <x:c r="Q16" s="11" t="n">
        <x:f>IF(P16=0,0,INT(N16/P16*100+0.5)/100)</x:f>
        <x:v>207.06</x:v>
      </x:c>
    </x:row>
    <x:row r="17" ht="21" customHeight="1">
      <x:c r="A17" s="3" t="str">
        <x:v>DS-W03-02</x:v>
      </x:c>
      <x:c r="B17" s="3" t="str">
        <x:v>ABNAH Cafe Connaught Place</x:v>
      </x:c>
      <x:c r="C17" s="9" t="n">
        <x:v>46224</x:v>
      </x:c>
      <x:c r="D17" s="3" t="str">
        <x:v>All Day</x:v>
      </x:c>
      <x:c r="E17" s="3" t="str">
        <x:v>00:00-23:59</x:v>
      </x:c>
      <x:c r="F17" s="3" t="str">
        <x:v>Dine-in + Delivery</x:v>
      </x:c>
      <x:c r="G17" s="11" t="n">
        <x:f>H17+I17</x:f>
        <x:v>38700</x:v>
      </x:c>
      <x:c r="H17" s="11" t="n">
        <x:v>21600</x:v>
      </x:c>
      <x:c r="I17" s="11" t="n">
        <x:v>17100</x:v>
      </x:c>
      <x:c r="J17" s="11" t="n">
        <x:f>H17+I17</x:f>
        <x:v>38700</x:v>
      </x:c>
      <x:c r="K17" s="11" t="n">
        <x:v>1355</x:v>
      </x:c>
      <x:c r="L17" s="11" t="n">
        <x:v>464</x:v>
      </x:c>
      <x:c r="M17" s="11" t="n">
        <x:v>0.25</x:v>
      </x:c>
      <x:c r="N17" s="11" t="n">
        <x:f>J17-K17+L17+M17</x:f>
        <x:v>37809.25</x:v>
      </x:c>
      <x:c r="O17" s="13" t="n">
        <x:v>141</x:v>
      </x:c>
      <x:c r="P17" s="13" t="n">
        <x:v>183</x:v>
      </x:c>
      <x:c r="Q17" s="11" t="n">
        <x:f>IF(P17=0,0,INT(N17/P17*100+0.5)/100)</x:f>
        <x:v>206.61</x:v>
      </x:c>
    </x:row>
    <x:row r="18" ht="21" customHeight="1">
      <x:c r="A18" s="3" t="str">
        <x:v>DS-W03-03</x:v>
      </x:c>
      <x:c r="B18" s="3" t="str">
        <x:v>ABNAH Cafe Connaught Place</x:v>
      </x:c>
      <x:c r="C18" s="9" t="n">
        <x:v>46225</x:v>
      </x:c>
      <x:c r="D18" s="3" t="str">
        <x:v>All Day</x:v>
      </x:c>
      <x:c r="E18" s="3" t="str">
        <x:v>00:00-23:59</x:v>
      </x:c>
      <x:c r="F18" s="3" t="str">
        <x:v>Dine-in + Delivery</x:v>
      </x:c>
      <x:c r="G18" s="11" t="n">
        <x:f>H18+I18</x:f>
        <x:v>39900</x:v>
      </x:c>
      <x:c r="H18" s="11" t="n">
        <x:v>22300</x:v>
      </x:c>
      <x:c r="I18" s="11" t="n">
        <x:v>17600</x:v>
      </x:c>
      <x:c r="J18" s="11" t="n">
        <x:f>H18+I18</x:f>
        <x:v>39900</x:v>
      </x:c>
      <x:c r="K18" s="11" t="n">
        <x:v>1397</x:v>
      </x:c>
      <x:c r="L18" s="11" t="n">
        <x:v>479</x:v>
      </x:c>
      <x:c r="M18" s="11" t="n">
        <x:v>-0.25</x:v>
      </x:c>
      <x:c r="N18" s="11" t="n">
        <x:f>J18-K18+L18+M18</x:f>
        <x:v>38981.75</x:v>
      </x:c>
      <x:c r="O18" s="13" t="n">
        <x:v>146</x:v>
      </x:c>
      <x:c r="P18" s="13" t="n">
        <x:v>189</x:v>
      </x:c>
      <x:c r="Q18" s="11" t="n">
        <x:f>IF(P18=0,0,INT(N18/P18*100+0.5)/100)</x:f>
        <x:v>206.25</x:v>
      </x:c>
    </x:row>
    <x:row r="19" ht="21" customHeight="1">
      <x:c r="A19" s="3" t="str">
        <x:v>DS-W03-04</x:v>
      </x:c>
      <x:c r="B19" s="3" t="str">
        <x:v>ABNAH Cafe Connaught Place</x:v>
      </x:c>
      <x:c r="C19" s="9" t="n">
        <x:v>46226</x:v>
      </x:c>
      <x:c r="D19" s="3" t="str">
        <x:v>All Day</x:v>
      </x:c>
      <x:c r="E19" s="3" t="str">
        <x:v>00:00-23:59</x:v>
      </x:c>
      <x:c r="F19" s="3" t="str">
        <x:v>Dine-in + Delivery</x:v>
      </x:c>
      <x:c r="G19" s="11" t="n">
        <x:f>H19+I19</x:f>
        <x:v>41400</x:v>
      </x:c>
      <x:c r="H19" s="11" t="n">
        <x:v>23100</x:v>
      </x:c>
      <x:c r="I19" s="11" t="n">
        <x:v>18300</x:v>
      </x:c>
      <x:c r="J19" s="11" t="n">
        <x:f>H19+I19</x:f>
        <x:v>41400</x:v>
      </x:c>
      <x:c r="K19" s="11" t="n">
        <x:v>1449</x:v>
      </x:c>
      <x:c r="L19" s="11" t="n">
        <x:v>497</x:v>
      </x:c>
      <x:c r="M19" s="11" t="n">
        <x:v>0.25</x:v>
      </x:c>
      <x:c r="N19" s="11" t="n">
        <x:f>J19-K19+L19+M19</x:f>
        <x:v>40448.25</x:v>
      </x:c>
      <x:c r="O19" s="13" t="n">
        <x:v>151</x:v>
      </x:c>
      <x:c r="P19" s="13" t="n">
        <x:v>196</x:v>
      </x:c>
      <x:c r="Q19" s="11" t="n">
        <x:f>IF(P19=0,0,INT(N19/P19*100+0.5)/100)</x:f>
        <x:v>206.37</x:v>
      </x:c>
    </x:row>
    <x:row r="20" ht="21" customHeight="1">
      <x:c r="A20" s="3" t="str">
        <x:v>DS-W03-05</x:v>
      </x:c>
      <x:c r="B20" s="3" t="str">
        <x:v>ABNAH Cafe Connaught Place</x:v>
      </x:c>
      <x:c r="C20" s="9" t="n">
        <x:v>46227</x:v>
      </x:c>
      <x:c r="D20" s="3" t="str">
        <x:v>All Day</x:v>
      </x:c>
      <x:c r="E20" s="3" t="str">
        <x:v>00:00-23:59</x:v>
      </x:c>
      <x:c r="F20" s="3" t="str">
        <x:v>Dine-in + Delivery</x:v>
      </x:c>
      <x:c r="G20" s="11" t="n">
        <x:f>H20+I20</x:f>
        <x:v>44100</x:v>
      </x:c>
      <x:c r="H20" s="11" t="n">
        <x:v>24700</x:v>
      </x:c>
      <x:c r="I20" s="11" t="n">
        <x:v>19400</x:v>
      </x:c>
      <x:c r="J20" s="11" t="n">
        <x:f>H20+I20</x:f>
        <x:v>44100</x:v>
      </x:c>
      <x:c r="K20" s="11" t="n">
        <x:v>1544</x:v>
      </x:c>
      <x:c r="L20" s="11" t="n">
        <x:v>529</x:v>
      </x:c>
      <x:c r="M20" s="11" t="n">
        <x:v>-0.25</x:v>
      </x:c>
      <x:c r="N20" s="11" t="n">
        <x:f>J20-K20+L20+M20</x:f>
        <x:v>43084.75</x:v>
      </x:c>
      <x:c r="O20" s="13" t="n">
        <x:v>162</x:v>
      </x:c>
      <x:c r="P20" s="13" t="n">
        <x:v>210</x:v>
      </x:c>
      <x:c r="Q20" s="11" t="n">
        <x:f>IF(P20=0,0,INT(N20/P20*100+0.5)/100)</x:f>
        <x:v>205.17</x:v>
      </x:c>
    </x:row>
    <x:row r="21" ht="21" customHeight="1">
      <x:c r="A21" s="3" t="str">
        <x:v>DS-W03-06</x:v>
      </x:c>
      <x:c r="B21" s="3" t="str">
        <x:v>ABNAH Cafe Connaught Place</x:v>
      </x:c>
      <x:c r="C21" s="9" t="n">
        <x:v>46228</x:v>
      </x:c>
      <x:c r="D21" s="3" t="str">
        <x:v>All Day</x:v>
      </x:c>
      <x:c r="E21" s="3" t="str">
        <x:v>00:00-23:59</x:v>
      </x:c>
      <x:c r="F21" s="3" t="str">
        <x:v>Dine-in + Delivery</x:v>
      </x:c>
      <x:c r="G21" s="11" t="n">
        <x:f>H21+I21</x:f>
        <x:v>53500</x:v>
      </x:c>
      <x:c r="H21" s="11" t="n">
        <x:v>29700</x:v>
      </x:c>
      <x:c r="I21" s="11" t="n">
        <x:v>23800</x:v>
      </x:c>
      <x:c r="J21" s="11" t="n">
        <x:f>H21+I21</x:f>
        <x:v>53500</x:v>
      </x:c>
      <x:c r="K21" s="11" t="n">
        <x:v>1873</x:v>
      </x:c>
      <x:c r="L21" s="11" t="n">
        <x:v>642</x:v>
      </x:c>
      <x:c r="M21" s="11" t="n">
        <x:v>0.25</x:v>
      </x:c>
      <x:c r="N21" s="11" t="n">
        <x:f>J21-K21+L21+M21</x:f>
        <x:v>52269.25</x:v>
      </x:c>
      <x:c r="O21" s="13" t="n">
        <x:v>196</x:v>
      </x:c>
      <x:c r="P21" s="13" t="n">
        <x:v>252</x:v>
      </x:c>
      <x:c r="Q21" s="11" t="n">
        <x:f>IF(P21=0,0,INT(N21/P21*100+0.5)/100)</x:f>
        <x:v>207.42</x:v>
      </x:c>
    </x:row>
    <x:row r="22" ht="21" customHeight="1">
      <x:c r="A22" s="3" t="str">
        <x:v>DS-W03-07</x:v>
      </x:c>
      <x:c r="B22" s="3" t="str">
        <x:v>ABNAH Cafe Connaught Place</x:v>
      </x:c>
      <x:c r="C22" s="9" t="n">
        <x:v>46229</x:v>
      </x:c>
      <x:c r="D22" s="3" t="str">
        <x:v>All Day</x:v>
      </x:c>
      <x:c r="E22" s="3" t="str">
        <x:v>00:00-23:59</x:v>
      </x:c>
      <x:c r="F22" s="3" t="str">
        <x:v>Dine-in + Delivery</x:v>
      </x:c>
      <x:c r="G22" s="11" t="n">
        <x:f>H22+I22</x:f>
        <x:v>57100</x:v>
      </x:c>
      <x:c r="H22" s="11" t="n">
        <x:v>31600</x:v>
      </x:c>
      <x:c r="I22" s="11" t="n">
        <x:v>25500</x:v>
      </x:c>
      <x:c r="J22" s="11" t="n">
        <x:f>H22+I22</x:f>
        <x:v>57100</x:v>
      </x:c>
      <x:c r="K22" s="11" t="n">
        <x:v>1999</x:v>
      </x:c>
      <x:c r="L22" s="11" t="n">
        <x:v>685</x:v>
      </x:c>
      <x:c r="M22" s="11" t="n">
        <x:v>-0.25</x:v>
      </x:c>
      <x:c r="N22" s="11" t="n">
        <x:f>J22-K22+L22+M22</x:f>
        <x:v>55785.75</x:v>
      </x:c>
      <x:c r="O22" s="13" t="n">
        <x:v>211</x:v>
      </x:c>
      <x:c r="P22" s="13" t="n">
        <x:v>272</x:v>
      </x:c>
      <x:c r="Q22" s="11" t="n">
        <x:f>IF(P22=0,0,INT(N22/P22*100+0.5)/100)</x:f>
        <x:v>205.09</x:v>
      </x:c>
    </x:row>
  </x:sheetData>
  <x:pageMargins left="0.7" right="0.7" top="0.75" bottom="0.75" header="0.3" footer="0.3"/>
  <x:tableParts count="1">
    <x:tablePart xmlns:r="http://schemas.openxmlformats.org/officeDocument/2006/relationships" r:id="Rb29412f2ec7245ab"/>
  </x:tableParts>
</x:worksheet>
</file>