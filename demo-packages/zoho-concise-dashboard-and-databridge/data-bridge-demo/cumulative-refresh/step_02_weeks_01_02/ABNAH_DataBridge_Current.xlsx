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515cb8214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2c101d24bd34454b"/>
    <x:sheet xmlns:r="http://schemas.openxmlformats.org/officeDocument/2006/relationships" name="Closing Stock" sheetId="2" r:id="Ree73afb0cfdf4e01"/>
    <x:sheet xmlns:r="http://schemas.openxmlformats.org/officeDocument/2006/relationships" name="Daily Sales" sheetId="3" r:id="R94989e1c5743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2579f9375437f" /><Relationship Type="http://schemas.openxmlformats.org/officeDocument/2006/relationships/theme" Target="/xl/theme/theme1.xml" Id="Re17b4a37d9a14db9" /><Relationship Type="http://schemas.openxmlformats.org/officeDocument/2006/relationships/sharedStrings" Target="/xl/sharedStrings.xml" Id="R04d2bf244bf64687" /><Relationship Type="http://schemas.openxmlformats.org/officeDocument/2006/relationships/worksheet" Target="/xl/worksheets/sheet1.xml" Id="R2c101d24bd34454b" /><Relationship Type="http://schemas.openxmlformats.org/officeDocument/2006/relationships/worksheet" Target="/xl/worksheets/sheet2.xml" Id="Ree73afb0cfdf4e01" /><Relationship Type="http://schemas.openxmlformats.org/officeDocument/2006/relationships/worksheet" Target="/xl/worksheets/sheet3.xml" Id="R94989e1c57434ed7" /></Relationships>
</file>

<file path=xl/tables/table1.xml><?xml version="1.0" encoding="utf-8"?>
<x:table xmlns:x="http://schemas.openxmlformats.org/spreadsheetml/2006/main" id="1" name="Entry_Current_W1_W2" displayName="Entry_Current_W1_W2" ref="A1:AH13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Current_W1_W2" displayName="Closing_Current_W1_W2" ref="A1:O11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Current_W1_W2" displayName="DailySales_Current_W1_W2" ref="A1:Q15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f2634f5a6f44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79aa86e13346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957245adb44b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46209</x:v>
      </x:c>
      <x:c r="F2" s="3" t="str">
        <x:v>GRN-W0101</x:v>
      </x:c>
      <x:c r="G2" s="3" t="str">
        <x:v>INV-W0101</x:v>
      </x:c>
      <x:c r="H2" s="3" t="str">
        <x:v>BATCH-W0101</x:v>
      </x:c>
      <x:c r="I2" s="3" t="str">
        <x:v>PR-W0101</x:v>
      </x:c>
      <x:c r="J2" s="3" t="str">
        <x:v>PO-W0101</x:v>
      </x:c>
      <x:c r="K2" s="9" t="n">
        <x:v>46209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1 receipt</x:v>
      </x:c>
      <x:c r="R2" s="10" t="n">
        <x:v>60</x:v>
      </x:c>
      <x:c r="S2" s="3" t="str">
        <x:v>LTR</x:v>
      </x:c>
      <x:c r="T2" s="11" t="n">
        <x:v>61.6</x:v>
      </x:c>
      <x:c r="U2" s="11" t="n">
        <x:v>56</x:v>
      </x:c>
      <x:c r="V2" s="3" t="str"/>
      <x:c r="W2" s="11" t="n">
        <x:f>INT(R2*U2*100+0.5)/100</x:f>
        <x:v>3360</x:v>
      </x:c>
      <x:c r="X2" s="11" t="n">
        <x:v>0</x:v>
      </x:c>
      <x:c r="Y2" s="12" t="n">
        <x:v>5</x:v>
      </x:c>
      <x:c r="Z2" s="11" t="n">
        <x:f>INT(W2*Y2+0.5)/100</x:f>
        <x:v>168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168</x:v>
      </x:c>
      <x:c r="AF2" s="11" t="n">
        <x:v>0</x:v>
      </x:c>
      <x:c r="AG2" s="11" t="n">
        <x:f>INT((W2-X2+AE2+AF2)*100+0.5)/100</x:f>
        <x:v>3528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46210</x:v>
      </x:c>
      <x:c r="F3" s="3" t="str">
        <x:v>GRN-W0102</x:v>
      </x:c>
      <x:c r="G3" s="3" t="str">
        <x:v>INV-W0102</x:v>
      </x:c>
      <x:c r="H3" s="3" t="str">
        <x:v>BATCH-W0102</x:v>
      </x:c>
      <x:c r="I3" s="3" t="str">
        <x:v>PR-W0102</x:v>
      </x:c>
      <x:c r="J3" s="3" t="str">
        <x:v>PO-W0102</x:v>
      </x:c>
      <x:c r="K3" s="9" t="n">
        <x:v>46210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1 receipt</x:v>
      </x:c>
      <x:c r="R3" s="10" t="n">
        <x:v>25</x:v>
      </x:c>
      <x:c r="S3" s="3" t="str">
        <x:v>KG</x:v>
      </x:c>
      <x:c r="T3" s="11" t="n">
        <x:v>792</x:v>
      </x:c>
      <x:c r="U3" s="11" t="n">
        <x:v>720</x:v>
      </x:c>
      <x:c r="V3" s="3" t="str"/>
      <x:c r="W3" s="11" t="n">
        <x:f>INT(R3*U3*100+0.5)/100</x:f>
        <x:v>18000</x:v>
      </x:c>
      <x:c r="X3" s="11" t="n">
        <x:v>0</x:v>
      </x:c>
      <x:c r="Y3" s="12" t="n">
        <x:v>5</x:v>
      </x:c>
      <x:c r="Z3" s="11" t="n">
        <x:f>INT(W3*Y3+0.5)/100</x:f>
        <x:v>900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900</x:v>
      </x:c>
      <x:c r="AF3" s="11" t="n">
        <x:v>0</x:v>
      </x:c>
      <x:c r="AG3" s="11" t="n">
        <x:f>INT((W3-X3+AE3+AF3)*100+0.5)/100</x:f>
        <x:v>18900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46211</x:v>
      </x:c>
      <x:c r="F4" s="3" t="str">
        <x:v>GRN-W0103</x:v>
      </x:c>
      <x:c r="G4" s="3" t="str">
        <x:v>INV-W0103</x:v>
      </x:c>
      <x:c r="H4" s="3" t="str">
        <x:v>BATCH-W0103</x:v>
      </x:c>
      <x:c r="I4" s="3" t="str">
        <x:v>PR-W0103</x:v>
      </x:c>
      <x:c r="J4" s="3" t="str">
        <x:v>PO-W0103</x:v>
      </x:c>
      <x:c r="K4" s="9" t="n">
        <x:v>46211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1 receipt</x:v>
      </x:c>
      <x:c r="R4" s="10" t="n">
        <x:v>40</x:v>
      </x:c>
      <x:c r="S4" s="3" t="str">
        <x:v>KG</x:v>
      </x:c>
      <x:c r="T4" s="11" t="n">
        <x:v>48.4</x:v>
      </x:c>
      <x:c r="U4" s="11" t="n">
        <x:v>44</x:v>
      </x:c>
      <x:c r="V4" s="3" t="str"/>
      <x:c r="W4" s="11" t="n">
        <x:f>INT(R4*U4*100+0.5)/100</x:f>
        <x:v>1760</x:v>
      </x:c>
      <x:c r="X4" s="11" t="n">
        <x:v>0</x:v>
      </x:c>
      <x:c r="Y4" s="12" t="n">
        <x:v>5</x:v>
      </x:c>
      <x:c r="Z4" s="11" t="n">
        <x:f>INT(W4*Y4+0.5)/100</x:f>
        <x:v>88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88</x:v>
      </x:c>
      <x:c r="AF4" s="11" t="n">
        <x:v>0</x:v>
      </x:c>
      <x:c r="AG4" s="11" t="n">
        <x:f>INT((W4-X4+AE4+AF4)*100+0.5)/100</x:f>
        <x:v>1848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46212</x:v>
      </x:c>
      <x:c r="F5" s="3" t="str">
        <x:v>GRN-W0104</x:v>
      </x:c>
      <x:c r="G5" s="3" t="str">
        <x:v>INV-W0104</x:v>
      </x:c>
      <x:c r="H5" s="3" t="str">
        <x:v>BATCH-W0104</x:v>
      </x:c>
      <x:c r="I5" s="3" t="str">
        <x:v>PR-W0104</x:v>
      </x:c>
      <x:c r="J5" s="3" t="str">
        <x:v>PO-W0104</x:v>
      </x:c>
      <x:c r="K5" s="9" t="n">
        <x:v>46212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1 receipt</x:v>
      </x:c>
      <x:c r="R5" s="10" t="n">
        <x:v>30</x:v>
      </x:c>
      <x:c r="S5" s="3" t="str">
        <x:v>KG</x:v>
      </x:c>
      <x:c r="T5" s="11" t="n">
        <x:v>198</x:v>
      </x:c>
      <x:c r="U5" s="11" t="n">
        <x:v>180</x:v>
      </x:c>
      <x:c r="V5" s="3" t="str"/>
      <x:c r="W5" s="11" t="n">
        <x:f>INT(R5*U5*100+0.5)/100</x:f>
        <x:v>5400</x:v>
      </x:c>
      <x:c r="X5" s="11" t="n">
        <x:v>0</x:v>
      </x:c>
      <x:c r="Y5" s="12" t="n">
        <x:v>18</x:v>
      </x:c>
      <x:c r="Z5" s="11" t="n">
        <x:f>INT(W5*Y5+0.5)/100</x:f>
        <x:v>972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972</x:v>
      </x:c>
      <x:c r="AF5" s="11" t="n">
        <x:v>0</x:v>
      </x:c>
      <x:c r="AG5" s="11" t="n">
        <x:f>INT((W5-X5+AE5+AF5)*100+0.5)/100</x:f>
        <x:v>6372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46213</x:v>
      </x:c>
      <x:c r="F6" s="3" t="str">
        <x:v>GRN-W0105</x:v>
      </x:c>
      <x:c r="G6" s="3" t="str">
        <x:v>INV-W0105</x:v>
      </x:c>
      <x:c r="H6" s="3" t="str">
        <x:v>BATCH-W0105</x:v>
      </x:c>
      <x:c r="I6" s="3" t="str">
        <x:v>PR-W0105</x:v>
      </x:c>
      <x:c r="J6" s="3" t="str">
        <x:v>PO-W0105</x:v>
      </x:c>
      <x:c r="K6" s="9" t="n">
        <x:v>46213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1 receipt</x:v>
      </x:c>
      <x:c r="R6" s="10" t="n">
        <x:v>600</x:v>
      </x:c>
      <x:c r="S6" s="3" t="str">
        <x:v>PCS</x:v>
      </x:c>
      <x:c r="T6" s="11" t="n">
        <x:v>3.52</x:v>
      </x:c>
      <x:c r="U6" s="11" t="n">
        <x:v>3.2</x:v>
      </x:c>
      <x:c r="V6" s="3" t="str"/>
      <x:c r="W6" s="11" t="n">
        <x:f>INT(R6*U6*100+0.5)/100</x:f>
        <x:v>1920</x:v>
      </x:c>
      <x:c r="X6" s="11" t="n">
        <x:v>0</x:v>
      </x:c>
      <x:c r="Y6" s="12" t="n">
        <x:v>18</x:v>
      </x:c>
      <x:c r="Z6" s="11" t="n">
        <x:f>INT(W6*Y6+0.5)/100</x:f>
        <x:v>345.6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345.6</x:v>
      </x:c>
      <x:c r="AF6" s="11" t="n">
        <x:v>0</x:v>
      </x:c>
      <x:c r="AG6" s="11" t="n">
        <x:f>INT((W6-X6+AE6+AF6)*100+0.5)/100</x:f>
        <x:v>2265.6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46214</x:v>
      </x:c>
      <x:c r="F7" s="3" t="str">
        <x:v>GRN-W0106</x:v>
      </x:c>
      <x:c r="G7" s="3" t="str">
        <x:v>INV-W0106</x:v>
      </x:c>
      <x:c r="H7" s="3" t="str">
        <x:v>BATCH-W0106</x:v>
      </x:c>
      <x:c r="I7" s="3" t="str">
        <x:v>PR-W0106</x:v>
      </x:c>
      <x:c r="J7" s="3" t="str">
        <x:v>PO-W0106</x:v>
      </x:c>
      <x:c r="K7" s="9" t="n">
        <x:v>46214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1 receipt</x:v>
      </x:c>
      <x:c r="R7" s="10" t="n">
        <x:v>45</x:v>
      </x:c>
      <x:c r="S7" s="3" t="str">
        <x:v>LTR</x:v>
      </x:c>
      <x:c r="T7" s="11" t="n">
        <x:v>62.7</x:v>
      </x:c>
      <x:c r="U7" s="11" t="n">
        <x:v>57</x:v>
      </x:c>
      <x:c r="V7" s="3" t="str"/>
      <x:c r="W7" s="11" t="n">
        <x:f>INT(R7*U7*100+0.5)/100</x:f>
        <x:v>2565</x:v>
      </x:c>
      <x:c r="X7" s="11" t="n">
        <x:v>0</x:v>
      </x:c>
      <x:c r="Y7" s="12" t="n">
        <x:v>5</x:v>
      </x:c>
      <x:c r="Z7" s="11" t="n">
        <x:f>INT(W7*Y7+0.5)/100</x:f>
        <x:v>128.25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128.25</x:v>
      </x:c>
      <x:c r="AF7" s="11" t="n">
        <x:v>0</x:v>
      </x:c>
      <x:c r="AG7" s="11" t="n">
        <x:f>INT((W7-X7+AE7+AF7)*100+0.5)/100</x:f>
        <x:v>2693.25</x:v>
      </x:c>
      <x:c r="AH7" s="3" t="str">
        <x:v>Synthetic DataBridge Demo</x:v>
      </x:c>
    </x:row>
    <x:row r="8" ht="21" customHeight="1">
      <x:c r="A8" s="3" t="str">
        <x:v>ABNAH Cafe Connaught Place</x:v>
      </x:c>
      <x:c r="B8" s="3" t="str">
        <x:v>GK2 Main Store</x:v>
      </x:c>
      <x:c r="C8" s="3" t="str">
        <x:v>demo.operator</x:v>
      </x:c>
      <x:c r="D8" s="3" t="str">
        <x:v>FreshDairy India Pvt Ltd</x:v>
      </x:c>
      <x:c r="E8" s="9" t="n">
        <x:v>46216</x:v>
      </x:c>
      <x:c r="F8" s="3" t="str">
        <x:v>GRN-W0201</x:v>
      </x:c>
      <x:c r="G8" s="3" t="str">
        <x:v>INV-W0201</x:v>
      </x:c>
      <x:c r="H8" s="3" t="str">
        <x:v>BATCH-W0201</x:v>
      </x:c>
      <x:c r="I8" s="3" t="str">
        <x:v>PR-W0201</x:v>
      </x:c>
      <x:c r="J8" s="3" t="str">
        <x:v>PO-W0201</x:v>
      </x:c>
      <x:c r="K8" s="9" t="n">
        <x:v>46216</x:v>
      </x:c>
      <x:c r="L8" s="3" t="str">
        <x:v>RM001</x:v>
      </x:c>
      <x:c r="M8" s="3" t="str">
        <x:v>Whole Milk</x:v>
      </x:c>
      <x:c r="N8" s="3" t="str">
        <x:v>FreshDairy</x:v>
      </x:c>
      <x:c r="O8" s="3" t="str">
        <x:v>Dairy</x:v>
      </x:c>
      <x:c r="P8" s="3" t="str">
        <x:v>InGoodCo</x:v>
      </x:c>
      <x:c r="Q8" s="3" t="str">
        <x:v>Synthetic week 2 receipt</x:v>
      </x:c>
      <x:c r="R8" s="10" t="n">
        <x:v>70</x:v>
      </x:c>
      <x:c r="S8" s="3" t="str">
        <x:v>LTR</x:v>
      </x:c>
      <x:c r="T8" s="11" t="n">
        <x:v>63.8</x:v>
      </x:c>
      <x:c r="U8" s="11" t="n">
        <x:v>58</x:v>
      </x:c>
      <x:c r="V8" s="3" t="str"/>
      <x:c r="W8" s="11" t="n">
        <x:f>INT(R8*U8*100+0.5)/100</x:f>
        <x:v>4060</x:v>
      </x:c>
      <x:c r="X8" s="11" t="n">
        <x:v>0</x:v>
      </x:c>
      <x:c r="Y8" s="12" t="n">
        <x:v>5</x:v>
      </x:c>
      <x:c r="Z8" s="11" t="n">
        <x:f>INT(W8*Y8+0.5)/100</x:f>
        <x:v>203</x:v>
      </x:c>
      <x:c r="AA8" s="12" t="n">
        <x:v>0</x:v>
      </x:c>
      <x:c r="AB8" s="11" t="n">
        <x:f>INT(W8*AA8+0.5)/100</x:f>
        <x:v>0</x:v>
      </x:c>
      <x:c r="AC8" s="12" t="n">
        <x:v>0</x:v>
      </x:c>
      <x:c r="AD8" s="11" t="n">
        <x:f>INT(W8*AC8+0.5)/100</x:f>
        <x:v>0</x:v>
      </x:c>
      <x:c r="AE8" s="11" t="n">
        <x:f>INT(SUM(Z8,AB8,AD8)*100+0.5)/100</x:f>
        <x:v>203</x:v>
      </x:c>
      <x:c r="AF8" s="11" t="n">
        <x:v>0</x:v>
      </x:c>
      <x:c r="AG8" s="11" t="n">
        <x:f>INT((W8-X8+AE8+AF8)*100+0.5)/100</x:f>
        <x:v>4263</x:v>
      </x:c>
      <x:c r="AH8" s="3" t="str">
        <x:v>Synthetic DataBridge Demo</x:v>
      </x:c>
    </x:row>
    <x:row r="9" ht="21" customHeight="1">
      <x:c r="A9" s="3" t="str">
        <x:v>ABNAH Cafe Connaught Place</x:v>
      </x:c>
      <x:c r="B9" s="3" t="str">
        <x:v>GK2 Main Store</x:v>
      </x:c>
      <x:c r="C9" s="3" t="str">
        <x:v>demo.operator</x:v>
      </x:c>
      <x:c r="D9" s="3" t="str">
        <x:v>BluePeak Coffee Traders</x:v>
      </x:c>
      <x:c r="E9" s="9" t="n">
        <x:v>46217</x:v>
      </x:c>
      <x:c r="F9" s="3" t="str">
        <x:v>GRN-W0202</x:v>
      </x:c>
      <x:c r="G9" s="3" t="str">
        <x:v>INV-W0202</x:v>
      </x:c>
      <x:c r="H9" s="3" t="str">
        <x:v>BATCH-W0202</x:v>
      </x:c>
      <x:c r="I9" s="3" t="str">
        <x:v>PR-W0202</x:v>
      </x:c>
      <x:c r="J9" s="3" t="str">
        <x:v>PO-W0202</x:v>
      </x:c>
      <x:c r="K9" s="9" t="n">
        <x:v>46217</x:v>
      </x:c>
      <x:c r="L9" s="3" t="str">
        <x:v>RM002</x:v>
      </x:c>
      <x:c r="M9" s="3" t="str">
        <x:v>Arabica Coffee Beans</x:v>
      </x:c>
      <x:c r="N9" s="3" t="str">
        <x:v>BluePeak</x:v>
      </x:c>
      <x:c r="O9" s="3" t="str">
        <x:v>Beverage Inputs</x:v>
      </x:c>
      <x:c r="P9" s="3" t="str">
        <x:v>InGoodCo</x:v>
      </x:c>
      <x:c r="Q9" s="3" t="str">
        <x:v>Synthetic week 2 receipt</x:v>
      </x:c>
      <x:c r="R9" s="10" t="n">
        <x:v>22</x:v>
      </x:c>
      <x:c r="S9" s="3" t="str">
        <x:v>KG</x:v>
      </x:c>
      <x:c r="T9" s="11" t="n">
        <x:v>836</x:v>
      </x:c>
      <x:c r="U9" s="11" t="n">
        <x:v>760</x:v>
      </x:c>
      <x:c r="V9" s="3" t="str"/>
      <x:c r="W9" s="11" t="n">
        <x:f>INT(R9*U9*100+0.5)/100</x:f>
        <x:v>16720</x:v>
      </x:c>
      <x:c r="X9" s="11" t="n">
        <x:v>0</x:v>
      </x:c>
      <x:c r="Y9" s="12" t="n">
        <x:v>5</x:v>
      </x:c>
      <x:c r="Z9" s="11" t="n">
        <x:f>INT(W9*Y9+0.5)/100</x:f>
        <x:v>836</x:v>
      </x:c>
      <x:c r="AA9" s="12" t="n">
        <x:v>0</x:v>
      </x:c>
      <x:c r="AB9" s="11" t="n">
        <x:f>INT(W9*AA9+0.5)/100</x:f>
        <x:v>0</x:v>
      </x:c>
      <x:c r="AC9" s="12" t="n">
        <x:v>0</x:v>
      </x:c>
      <x:c r="AD9" s="11" t="n">
        <x:f>INT(W9*AC9+0.5)/100</x:f>
        <x:v>0</x:v>
      </x:c>
      <x:c r="AE9" s="11" t="n">
        <x:f>INT(SUM(Z9,AB9,AD9)*100+0.5)/100</x:f>
        <x:v>836</x:v>
      </x:c>
      <x:c r="AF9" s="11" t="n">
        <x:v>0</x:v>
      </x:c>
      <x:c r="AG9" s="11" t="n">
        <x:f>INT((W9-X9+AE9+AF9)*100+0.5)/100</x:f>
        <x:v>17556</x:v>
      </x:c>
      <x:c r="AH9" s="3" t="str">
        <x:v>Synthetic DataBridge Demo</x:v>
      </x:c>
    </x:row>
    <x:row r="10" ht="21" customHeight="1">
      <x:c r="A10" s="3" t="str">
        <x:v>ABNAH Cafe Connaught Place</x:v>
      </x:c>
      <x:c r="B10" s="3" t="str">
        <x:v>GK2 Main Store</x:v>
      </x:c>
      <x:c r="C10" s="3" t="str">
        <x:v>demo.operator</x:v>
      </x:c>
      <x:c r="D10" s="3" t="str">
        <x:v>Madhur Sugar Distributors</x:v>
      </x:c>
      <x:c r="E10" s="9" t="n">
        <x:v>46218</x:v>
      </x:c>
      <x:c r="F10" s="3" t="str">
        <x:v>GRN-W0203</x:v>
      </x:c>
      <x:c r="G10" s="3" t="str">
        <x:v>INV-W0203</x:v>
      </x:c>
      <x:c r="H10" s="3" t="str">
        <x:v>BATCH-W0203</x:v>
      </x:c>
      <x:c r="I10" s="3" t="str">
        <x:v>PR-W0203</x:v>
      </x:c>
      <x:c r="J10" s="3" t="str">
        <x:v>PO-W0203</x:v>
      </x:c>
      <x:c r="K10" s="9" t="n">
        <x:v>46218</x:v>
      </x:c>
      <x:c r="L10" s="3" t="str">
        <x:v>RM003</x:v>
      </x:c>
      <x:c r="M10" s="3" t="str">
        <x:v>Refined Sugar</x:v>
      </x:c>
      <x:c r="N10" s="3" t="str">
        <x:v>Madhur</x:v>
      </x:c>
      <x:c r="O10" s="3" t="str">
        <x:v>Grocery</x:v>
      </x:c>
      <x:c r="P10" s="3" t="str">
        <x:v>InGoodCo</x:v>
      </x:c>
      <x:c r="Q10" s="3" t="str">
        <x:v>Synthetic week 2 receipt</x:v>
      </x:c>
      <x:c r="R10" s="10" t="n">
        <x:v>45</x:v>
      </x:c>
      <x:c r="S10" s="3" t="str">
        <x:v>KG</x:v>
      </x:c>
      <x:c r="T10" s="11" t="n">
        <x:v>49.5</x:v>
      </x:c>
      <x:c r="U10" s="11" t="n">
        <x:v>45</x:v>
      </x:c>
      <x:c r="V10" s="3" t="str"/>
      <x:c r="W10" s="11" t="n">
        <x:f>INT(R10*U10*100+0.5)/100</x:f>
        <x:v>2025</x:v>
      </x:c>
      <x:c r="X10" s="11" t="n">
        <x:v>0</x:v>
      </x:c>
      <x:c r="Y10" s="12" t="n">
        <x:v>5</x:v>
      </x:c>
      <x:c r="Z10" s="11" t="n">
        <x:f>INT(W10*Y10+0.5)/100</x:f>
        <x:v>101.25</x:v>
      </x:c>
      <x:c r="AA10" s="12" t="n">
        <x:v>0</x:v>
      </x:c>
      <x:c r="AB10" s="11" t="n">
        <x:f>INT(W10*AA10+0.5)/100</x:f>
        <x:v>0</x:v>
      </x:c>
      <x:c r="AC10" s="12" t="n">
        <x:v>0</x:v>
      </x:c>
      <x:c r="AD10" s="11" t="n">
        <x:f>INT(W10*AC10+0.5)/100</x:f>
        <x:v>0</x:v>
      </x:c>
      <x:c r="AE10" s="11" t="n">
        <x:f>INT(SUM(Z10,AB10,AD10)*100+0.5)/100</x:f>
        <x:v>101.25</x:v>
      </x:c>
      <x:c r="AF10" s="11" t="n">
        <x:v>0</x:v>
      </x:c>
      <x:c r="AG10" s="11" t="n">
        <x:f>INT((W10-X10+AE10+AF10)*100+0.5)/100</x:f>
        <x:v>2126.25</x:v>
      </x:c>
      <x:c r="AH10" s="3" t="str">
        <x:v>Synthetic DataBridge Demo</x:v>
      </x:c>
    </x:row>
    <x:row r="11" ht="21" customHeight="1">
      <x:c r="A11" s="3" t="str">
        <x:v>ABNAH Cafe Connaught Place</x:v>
      </x:c>
      <x:c r="B11" s="3" t="str">
        <x:v>GK2 Main Store</x:v>
      </x:c>
      <x:c r="C11" s="3" t="str">
        <x:v>demo.operator</x:v>
      </x:c>
      <x:c r="D11" s="3" t="str">
        <x:v>Bakers Choice Foods</x:v>
      </x:c>
      <x:c r="E11" s="9" t="n">
        <x:v>46219</x:v>
      </x:c>
      <x:c r="F11" s="3" t="str">
        <x:v>GRN-W0204</x:v>
      </x:c>
      <x:c r="G11" s="3" t="str">
        <x:v>INV-W0204</x:v>
      </x:c>
      <x:c r="H11" s="3" t="str">
        <x:v>BATCH-W0204</x:v>
      </x:c>
      <x:c r="I11" s="3" t="str">
        <x:v>PR-W0204</x:v>
      </x:c>
      <x:c r="J11" s="3" t="str">
        <x:v>PO-W0204</x:v>
      </x:c>
      <x:c r="K11" s="9" t="n">
        <x:v>46219</x:v>
      </x:c>
      <x:c r="L11" s="3" t="str">
        <x:v>RM004</x:v>
      </x:c>
      <x:c r="M11" s="3" t="str">
        <x:v>Vanilla Cake Base</x:v>
      </x:c>
      <x:c r="N11" s="3" t="str">
        <x:v>Bakers Choice</x:v>
      </x:c>
      <x:c r="O11" s="3" t="str">
        <x:v>Bakery Inputs</x:v>
      </x:c>
      <x:c r="P11" s="3" t="str">
        <x:v>InGoodCo</x:v>
      </x:c>
      <x:c r="Q11" s="3" t="str">
        <x:v>Synthetic week 2 receipt</x:v>
      </x:c>
      <x:c r="R11" s="10" t="n">
        <x:v>24</x:v>
      </x:c>
      <x:c r="S11" s="3" t="str">
        <x:v>KG</x:v>
      </x:c>
      <x:c r="T11" s="11" t="n">
        <x:v>204.6</x:v>
      </x:c>
      <x:c r="U11" s="11" t="n">
        <x:v>186</x:v>
      </x:c>
      <x:c r="V11" s="3" t="str"/>
      <x:c r="W11" s="11" t="n">
        <x:f>INT(R11*U11*100+0.5)/100</x:f>
        <x:v>4464</x:v>
      </x:c>
      <x:c r="X11" s="11" t="n">
        <x:v>0</x:v>
      </x:c>
      <x:c r="Y11" s="12" t="n">
        <x:v>18</x:v>
      </x:c>
      <x:c r="Z11" s="11" t="n">
        <x:f>INT(W11*Y11+0.5)/100</x:f>
        <x:v>803.52</x:v>
      </x:c>
      <x:c r="AA11" s="12" t="n">
        <x:v>0</x:v>
      </x:c>
      <x:c r="AB11" s="11" t="n">
        <x:f>INT(W11*AA11+0.5)/100</x:f>
        <x:v>0</x:v>
      </x:c>
      <x:c r="AC11" s="12" t="n">
        <x:v>0</x:v>
      </x:c>
      <x:c r="AD11" s="11" t="n">
        <x:f>INT(W11*AC11+0.5)/100</x:f>
        <x:v>0</x:v>
      </x:c>
      <x:c r="AE11" s="11" t="n">
        <x:f>INT(SUM(Z11,AB11,AD11)*100+0.5)/100</x:f>
        <x:v>803.52</x:v>
      </x:c>
      <x:c r="AF11" s="11" t="n">
        <x:v>0</x:v>
      </x:c>
      <x:c r="AG11" s="11" t="n">
        <x:f>INT((W11-X11+AE11+AF11)*100+0.5)/100</x:f>
        <x:v>5267.52</x:v>
      </x:c>
      <x:c r="AH11" s="3" t="str">
        <x:v>Synthetic DataBridge Demo</x:v>
      </x:c>
    </x:row>
    <x:row r="12" ht="21" customHeight="1">
      <x:c r="A12" s="3" t="str">
        <x:v>ABNAH Cafe Connaught Place</x:v>
      </x:c>
      <x:c r="B12" s="3" t="str">
        <x:v>GK2 Main Store</x:v>
      </x:c>
      <x:c r="C12" s="3" t="str">
        <x:v>demo.operator</x:v>
      </x:c>
      <x:c r="D12" s="3" t="str">
        <x:v>EcoServe Packaging</x:v>
      </x:c>
      <x:c r="E12" s="9" t="n">
        <x:v>46220</x:v>
      </x:c>
      <x:c r="F12" s="3" t="str">
        <x:v>GRN-W0205</x:v>
      </x:c>
      <x:c r="G12" s="3" t="str">
        <x:v>INV-W0205</x:v>
      </x:c>
      <x:c r="H12" s="3" t="str">
        <x:v>BATCH-W0205</x:v>
      </x:c>
      <x:c r="I12" s="3" t="str">
        <x:v>PR-W0205</x:v>
      </x:c>
      <x:c r="J12" s="3" t="str">
        <x:v>PO-W0205</x:v>
      </x:c>
      <x:c r="K12" s="9" t="n">
        <x:v>46220</x:v>
      </x:c>
      <x:c r="L12" s="3" t="str">
        <x:v>RM005</x:v>
      </x:c>
      <x:c r="M12" s="3" t="str">
        <x:v>12 oz Paper Cup</x:v>
      </x:c>
      <x:c r="N12" s="3" t="str">
        <x:v>EcoServe</x:v>
      </x:c>
      <x:c r="O12" s="3" t="str">
        <x:v>Packaging</x:v>
      </x:c>
      <x:c r="P12" s="3" t="str">
        <x:v>InGoodCo</x:v>
      </x:c>
      <x:c r="Q12" s="3" t="str">
        <x:v>Synthetic week 2 receipt</x:v>
      </x:c>
      <x:c r="R12" s="10" t="n">
        <x:v>500</x:v>
      </x:c>
      <x:c r="S12" s="3" t="str">
        <x:v>PCS</x:v>
      </x:c>
      <x:c r="T12" s="11" t="n">
        <x:v>3.58</x:v>
      </x:c>
      <x:c r="U12" s="11" t="n">
        <x:v>3.25</x:v>
      </x:c>
      <x:c r="V12" s="3" t="str"/>
      <x:c r="W12" s="11" t="n">
        <x:f>INT(R12*U12*100+0.5)/100</x:f>
        <x:v>1625</x:v>
      </x:c>
      <x:c r="X12" s="11" t="n">
        <x:v>0</x:v>
      </x:c>
      <x:c r="Y12" s="12" t="n">
        <x:v>18</x:v>
      </x:c>
      <x:c r="Z12" s="11" t="n">
        <x:f>INT(W12*Y12+0.5)/100</x:f>
        <x:v>292.5</x:v>
      </x:c>
      <x:c r="AA12" s="12" t="n">
        <x:v>0</x:v>
      </x:c>
      <x:c r="AB12" s="11" t="n">
        <x:f>INT(W12*AA12+0.5)/100</x:f>
        <x:v>0</x:v>
      </x:c>
      <x:c r="AC12" s="12" t="n">
        <x:v>0</x:v>
      </x:c>
      <x:c r="AD12" s="11" t="n">
        <x:f>INT(W12*AC12+0.5)/100</x:f>
        <x:v>0</x:v>
      </x:c>
      <x:c r="AE12" s="11" t="n">
        <x:f>INT(SUM(Z12,AB12,AD12)*100+0.5)/100</x:f>
        <x:v>292.5</x:v>
      </x:c>
      <x:c r="AF12" s="11" t="n">
        <x:v>0</x:v>
      </x:c>
      <x:c r="AG12" s="11" t="n">
        <x:f>INT((W12-X12+AE12+AF12)*100+0.5)/100</x:f>
        <x:v>1917.5</x:v>
      </x:c>
      <x:c r="AH12" s="3" t="str">
        <x:v>Synthetic DataBridge Demo</x:v>
      </x:c>
    </x:row>
    <x:row r="13" ht="21" customHeight="1">
      <x:c r="A13" s="3" t="str">
        <x:v>ABNAH Cafe Connaught Place</x:v>
      </x:c>
      <x:c r="B13" s="3" t="str">
        <x:v>GK2 Main Store</x:v>
      </x:c>
      <x:c r="C13" s="3" t="str">
        <x:v>demo.operator</x:v>
      </x:c>
      <x:c r="D13" s="3" t="str">
        <x:v>FreshDairy India Pvt Ltd</x:v>
      </x:c>
      <x:c r="E13" s="9" t="n">
        <x:v>46221</x:v>
      </x:c>
      <x:c r="F13" s="3" t="str">
        <x:v>GRN-W0206</x:v>
      </x:c>
      <x:c r="G13" s="3" t="str">
        <x:v>INV-W0206</x:v>
      </x:c>
      <x:c r="H13" s="3" t="str">
        <x:v>BATCH-W0206</x:v>
      </x:c>
      <x:c r="I13" s="3" t="str">
        <x:v>PR-W0206</x:v>
      </x:c>
      <x:c r="J13" s="3" t="str">
        <x:v>PO-W0206</x:v>
      </x:c>
      <x:c r="K13" s="9" t="n">
        <x:v>46221</x:v>
      </x:c>
      <x:c r="L13" s="3" t="str">
        <x:v>RM001</x:v>
      </x:c>
      <x:c r="M13" s="3" t="str">
        <x:v>Whole Milk</x:v>
      </x:c>
      <x:c r="N13" s="3" t="str">
        <x:v>FreshDairy</x:v>
      </x:c>
      <x:c r="O13" s="3" t="str">
        <x:v>Dairy</x:v>
      </x:c>
      <x:c r="P13" s="3" t="str">
        <x:v>InGoodCo</x:v>
      </x:c>
      <x:c r="Q13" s="3" t="str">
        <x:v>Synthetic week 2 receipt</x:v>
      </x:c>
      <x:c r="R13" s="10" t="n">
        <x:v>50</x:v>
      </x:c>
      <x:c r="S13" s="3" t="str">
        <x:v>LTR</x:v>
      </x:c>
      <x:c r="T13" s="11" t="n">
        <x:v>63.8</x:v>
      </x:c>
      <x:c r="U13" s="11" t="n">
        <x:v>58</x:v>
      </x:c>
      <x:c r="V13" s="3" t="str"/>
      <x:c r="W13" s="11" t="n">
        <x:f>INT(R13*U13*100+0.5)/100</x:f>
        <x:v>2900</x:v>
      </x:c>
      <x:c r="X13" s="11" t="n">
        <x:v>0</x:v>
      </x:c>
      <x:c r="Y13" s="12" t="n">
        <x:v>5</x:v>
      </x:c>
      <x:c r="Z13" s="11" t="n">
        <x:f>INT(W13*Y13+0.5)/100</x:f>
        <x:v>145</x:v>
      </x:c>
      <x:c r="AA13" s="12" t="n">
        <x:v>0</x:v>
      </x:c>
      <x:c r="AB13" s="11" t="n">
        <x:f>INT(W13*AA13+0.5)/100</x:f>
        <x:v>0</x:v>
      </x:c>
      <x:c r="AC13" s="12" t="n">
        <x:v>0</x:v>
      </x:c>
      <x:c r="AD13" s="11" t="n">
        <x:f>INT(W13*AC13+0.5)/100</x:f>
        <x:v>0</x:v>
      </x:c>
      <x:c r="AE13" s="11" t="n">
        <x:f>INT(SUM(Z13,AB13,AD13)*100+0.5)/100</x:f>
        <x:v>145</x:v>
      </x:c>
      <x:c r="AF13" s="11" t="n">
        <x:v>0</x:v>
      </x:c>
      <x:c r="AG13" s="11" t="n">
        <x:f>INT((W13-X13+AE13+AF13)*100+0.5)/100</x:f>
        <x:v>3045</x:v>
      </x:c>
      <x:c r="AH13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79f2634f5a6f44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46215</x:v>
      </x:c>
      <x:c r="C2" s="9" t="n">
        <x:v>46215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56.43</x:v>
      </x:c>
      <x:c r="M2" s="10" t="n">
        <x:v>28</x:v>
      </x:c>
      <x:c r="N2" s="10" t="n">
        <x:f>M2</x:f>
        <x:v>28</x:v>
      </x:c>
      <x:c r="O2" s="11" t="n">
        <x:f>INT(L2*N2*100+0.5)/100</x:f>
        <x:v>1580.04</x:v>
      </x:c>
    </x:row>
    <x:row r="3" ht="21" customHeight="1">
      <x:c r="A3" s="3" t="str">
        <x:v>ABNAH Cafe Connaught Place</x:v>
      </x:c>
      <x:c r="B3" s="9" t="n">
        <x:v>46215</x:v>
      </x:c>
      <x:c r="C3" s="9" t="n">
        <x:v>46215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720</x:v>
      </x:c>
      <x:c r="M3" s="10" t="n">
        <x:v>14</x:v>
      </x:c>
      <x:c r="N3" s="10" t="n">
        <x:f>M3</x:f>
        <x:v>14</x:v>
      </x:c>
      <x:c r="O3" s="11" t="n">
        <x:f>INT(L3*N3*100+0.5)/100</x:f>
        <x:v>10080</x:v>
      </x:c>
    </x:row>
    <x:row r="4" ht="21" customHeight="1">
      <x:c r="A4" s="3" t="str">
        <x:v>ABNAH Cafe Connaught Place</x:v>
      </x:c>
      <x:c r="B4" s="9" t="n">
        <x:v>46215</x:v>
      </x:c>
      <x:c r="C4" s="9" t="n">
        <x:v>46215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</x:v>
      </x:c>
      <x:c r="M4" s="10" t="n">
        <x:v>35</x:v>
      </x:c>
      <x:c r="N4" s="10" t="n">
        <x:f>M4</x:f>
        <x:v>35</x:v>
      </x:c>
      <x:c r="O4" s="11" t="n">
        <x:f>INT(L4*N4*100+0.5)/100</x:f>
        <x:v>1540</x:v>
      </x:c>
    </x:row>
    <x:row r="5" ht="21" customHeight="1">
      <x:c r="A5" s="3" t="str">
        <x:v>ABNAH Cafe Connaught Place</x:v>
      </x:c>
      <x:c r="B5" s="9" t="n">
        <x:v>46215</x:v>
      </x:c>
      <x:c r="C5" s="9" t="n">
        <x:v>46215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180</x:v>
      </x:c>
      <x:c r="M5" s="10" t="n">
        <x:v>12</x:v>
      </x:c>
      <x:c r="N5" s="10" t="n">
        <x:f>M5</x:f>
        <x:v>12</x:v>
      </x:c>
      <x:c r="O5" s="11" t="n">
        <x:f>INT(L5*N5*100+0.5)/100</x:f>
        <x:v>2160</x:v>
      </x:c>
    </x:row>
    <x:row r="6" ht="21" customHeight="1">
      <x:c r="A6" s="3" t="str">
        <x:v>ABNAH Cafe Connaught Place</x:v>
      </x:c>
      <x:c r="B6" s="9" t="n">
        <x:v>46215</x:v>
      </x:c>
      <x:c r="C6" s="9" t="n">
        <x:v>46215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3.2</x:v>
      </x:c>
      <x:c r="M6" s="10" t="n">
        <x:v>380</x:v>
      </x:c>
      <x:c r="N6" s="10" t="n">
        <x:f>M6</x:f>
        <x:v>380</x:v>
      </x:c>
      <x:c r="O6" s="11" t="n">
        <x:f>INT(L6*N6*100+0.5)/100</x:f>
        <x:v>1216</x:v>
      </x:c>
    </x:row>
    <x:row r="7" ht="21" customHeight="1">
      <x:c r="A7" s="3" t="str">
        <x:v>ABNAH Cafe Connaught Place</x:v>
      </x:c>
      <x:c r="B7" s="9" t="n">
        <x:v>46222</x:v>
      </x:c>
      <x:c r="C7" s="9" t="n">
        <x:v>46222</x:v>
      </x:c>
      <x:c r="D7" s="3" t="str">
        <x:v>23:59:00</x:v>
      </x:c>
      <x:c r="E7" s="3" t="str">
        <x:v>RM001</x:v>
      </x:c>
      <x:c r="F7" s="3" t="str">
        <x:v>Whole Milk</x:v>
      </x:c>
      <x:c r="G7" s="3" t="str">
        <x:v>INGC</x:v>
      </x:c>
      <x:c r="H7" s="3" t="str">
        <x:v>InGoodCo</x:v>
      </x:c>
      <x:c r="I7" s="3" t="str">
        <x:v>DAIRY</x:v>
      </x:c>
      <x:c r="J7" s="3" t="str">
        <x:v>Dairy</x:v>
      </x:c>
      <x:c r="K7" s="3" t="str">
        <x:v>LTR</x:v>
      </x:c>
      <x:c r="L7" s="11" t="n">
        <x:v>57.5</x:v>
      </x:c>
      <x:c r="M7" s="10" t="n">
        <x:v>18</x:v>
      </x:c>
      <x:c r="N7" s="10" t="n">
        <x:f>M7</x:f>
        <x:v>18</x:v>
      </x:c>
      <x:c r="O7" s="11" t="n">
        <x:f>INT(L7*N7*100+0.5)/100</x:f>
        <x:v>1035</x:v>
      </x:c>
    </x:row>
    <x:row r="8" ht="21" customHeight="1">
      <x:c r="A8" s="3" t="str">
        <x:v>ABNAH Cafe Connaught Place</x:v>
      </x:c>
      <x:c r="B8" s="9" t="n">
        <x:v>46222</x:v>
      </x:c>
      <x:c r="C8" s="9" t="n">
        <x:v>46222</x:v>
      </x:c>
      <x:c r="D8" s="3" t="str">
        <x:v>23:59:00</x:v>
      </x:c>
      <x:c r="E8" s="3" t="str">
        <x:v>RM002</x:v>
      </x:c>
      <x:c r="F8" s="3" t="str">
        <x:v>Arabica Coffee Beans</x:v>
      </x:c>
      <x:c r="G8" s="3" t="str">
        <x:v>INGC</x:v>
      </x:c>
      <x:c r="H8" s="3" t="str">
        <x:v>InGoodCo</x:v>
      </x:c>
      <x:c r="I8" s="3" t="str">
        <x:v>BEV-IN</x:v>
      </x:c>
      <x:c r="J8" s="3" t="str">
        <x:v>Beverage Inputs</x:v>
      </x:c>
      <x:c r="K8" s="3" t="str">
        <x:v>KG</x:v>
      </x:c>
      <x:c r="L8" s="11" t="n">
        <x:v>742.34</x:v>
      </x:c>
      <x:c r="M8" s="10" t="n">
        <x:v>8</x:v>
      </x:c>
      <x:c r="N8" s="10" t="n">
        <x:f>M8</x:f>
        <x:v>8</x:v>
      </x:c>
      <x:c r="O8" s="11" t="n">
        <x:f>INT(L8*N8*100+0.5)/100</x:f>
        <x:v>5938.72</x:v>
      </x:c>
    </x:row>
    <x:row r="9" ht="21" customHeight="1">
      <x:c r="A9" s="3" t="str">
        <x:v>ABNAH Cafe Connaught Place</x:v>
      </x:c>
      <x:c r="B9" s="9" t="n">
        <x:v>46222</x:v>
      </x:c>
      <x:c r="C9" s="9" t="n">
        <x:v>46222</x:v>
      </x:c>
      <x:c r="D9" s="3" t="str">
        <x:v>23:59:00</x:v>
      </x:c>
      <x:c r="E9" s="3" t="str">
        <x:v>RM003</x:v>
      </x:c>
      <x:c r="F9" s="3" t="str">
        <x:v>Refined Sugar</x:v>
      </x:c>
      <x:c r="G9" s="3" t="str">
        <x:v>INGC</x:v>
      </x:c>
      <x:c r="H9" s="3" t="str">
        <x:v>InGoodCo</x:v>
      </x:c>
      <x:c r="I9" s="3" t="str">
        <x:v>GROC</x:v>
      </x:c>
      <x:c r="J9" s="3" t="str">
        <x:v>Grocery</x:v>
      </x:c>
      <x:c r="K9" s="3" t="str">
        <x:v>KG</x:v>
      </x:c>
      <x:c r="L9" s="11" t="n">
        <x:v>44.56</x:v>
      </x:c>
      <x:c r="M9" s="10" t="n">
        <x:v>30</x:v>
      </x:c>
      <x:c r="N9" s="10" t="n">
        <x:f>M9</x:f>
        <x:v>30</x:v>
      </x:c>
      <x:c r="O9" s="11" t="n">
        <x:f>INT(L9*N9*100+0.5)/100</x:f>
        <x:v>1336.8</x:v>
      </x:c>
    </x:row>
    <x:row r="10" ht="21" customHeight="1">
      <x:c r="A10" s="3" t="str">
        <x:v>ABNAH Cafe Connaught Place</x:v>
      </x:c>
      <x:c r="B10" s="9" t="n">
        <x:v>46222</x:v>
      </x:c>
      <x:c r="C10" s="9" t="n">
        <x:v>46222</x:v>
      </x:c>
      <x:c r="D10" s="3" t="str">
        <x:v>23:59:00</x:v>
      </x:c>
      <x:c r="E10" s="3" t="str">
        <x:v>RM004</x:v>
      </x:c>
      <x:c r="F10" s="3" t="str">
        <x:v>Vanilla Cake Base</x:v>
      </x:c>
      <x:c r="G10" s="3" t="str">
        <x:v>INGC</x:v>
      </x:c>
      <x:c r="H10" s="3" t="str">
        <x:v>InGoodCo</x:v>
      </x:c>
      <x:c r="I10" s="3" t="str">
        <x:v>BAKE</x:v>
      </x:c>
      <x:c r="J10" s="3" t="str">
        <x:v>Bakery Inputs</x:v>
      </x:c>
      <x:c r="K10" s="3" t="str">
        <x:v>KG</x:v>
      </x:c>
      <x:c r="L10" s="11" t="n">
        <x:v>182.67</x:v>
      </x:c>
      <x:c r="M10" s="10" t="n">
        <x:v>6</x:v>
      </x:c>
      <x:c r="N10" s="10" t="n">
        <x:f>M10</x:f>
        <x:v>6</x:v>
      </x:c>
      <x:c r="O10" s="11" t="n">
        <x:f>INT(L10*N10*100+0.5)/100</x:f>
        <x:v>1096.02</x:v>
      </x:c>
    </x:row>
    <x:row r="11" ht="21" customHeight="1">
      <x:c r="A11" s="3" t="str">
        <x:v>ABNAH Cafe Connaught Place</x:v>
      </x:c>
      <x:c r="B11" s="9" t="n">
        <x:v>46222</x:v>
      </x:c>
      <x:c r="C11" s="9" t="n">
        <x:v>46222</x:v>
      </x:c>
      <x:c r="D11" s="3" t="str">
        <x:v>23:59:00</x:v>
      </x:c>
      <x:c r="E11" s="3" t="str">
        <x:v>RM005</x:v>
      </x:c>
      <x:c r="F11" s="3" t="str">
        <x:v>12 oz Paper Cup</x:v>
      </x:c>
      <x:c r="G11" s="3" t="str">
        <x:v>INGC</x:v>
      </x:c>
      <x:c r="H11" s="3" t="str">
        <x:v>InGoodCo</x:v>
      </x:c>
      <x:c r="I11" s="3" t="str">
        <x:v>PACK</x:v>
      </x:c>
      <x:c r="J11" s="3" t="str">
        <x:v>Packaging</x:v>
      </x:c>
      <x:c r="K11" s="3" t="str">
        <x:v>PCS</x:v>
      </x:c>
      <x:c r="L11" s="11" t="n">
        <x:v>3.23</x:v>
      </x:c>
      <x:c r="M11" s="10" t="n">
        <x:v>240</x:v>
      </x:c>
      <x:c r="N11" s="10" t="n">
        <x:f>M11</x:f>
        <x:v>240</x:v>
      </x:c>
      <x:c r="O11" s="11" t="n">
        <x:f>INT(L11*N11*100+0.5)/100</x:f>
        <x:v>775.2</x:v>
      </x:c>
    </x:row>
  </x:sheetData>
  <x:pageMargins left="0.7" right="0.7" top="0.75" bottom="0.75" header="0.3" footer="0.3"/>
  <x:tableParts count="1">
    <x:tablePart xmlns:r="http://schemas.openxmlformats.org/officeDocument/2006/relationships" r:id="R7279aa86e13346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DS-W01-01</x:v>
      </x:c>
      <x:c r="B2" s="3" t="str">
        <x:v>ABNAH Cafe Connaught Place</x:v>
      </x:c>
      <x:c r="C2" s="9" t="n">
        <x:v>46209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33300</x:v>
      </x:c>
      <x:c r="H2" s="11" t="n">
        <x:v>18500</x:v>
      </x:c>
      <x:c r="I2" s="11" t="n">
        <x:v>14800</x:v>
      </x:c>
      <x:c r="J2" s="11" t="n">
        <x:f>H2+I2</x:f>
        <x:v>33300</x:v>
      </x:c>
      <x:c r="K2" s="11" t="n">
        <x:v>1166</x:v>
      </x:c>
      <x:c r="L2" s="11" t="n">
        <x:v>400</x:v>
      </x:c>
      <x:c r="M2" s="11" t="n">
        <x:v>-0.25</x:v>
      </x:c>
      <x:c r="N2" s="11" t="n">
        <x:f>J2-K2+L2+M2</x:f>
        <x:v>32533.75</x:v>
      </x:c>
      <x:c r="O2" s="13" t="n">
        <x:v>124</x:v>
      </x:c>
      <x:c r="P2" s="13" t="n">
        <x:v>161</x:v>
      </x:c>
      <x:c r="Q2" s="11" t="n">
        <x:f>IF(P2=0,0,INT(N2/P2*100+0.5)/100)</x:f>
        <x:v>202.07</x:v>
      </x:c>
    </x:row>
    <x:row r="3" ht="21" customHeight="1">
      <x:c r="A3" s="3" t="str">
        <x:v>DS-W01-02</x:v>
      </x:c>
      <x:c r="B3" s="3" t="str">
        <x:v>ABNAH Cafe Connaught Place</x:v>
      </x:c>
      <x:c r="C3" s="9" t="n">
        <x:v>46210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34300</x:v>
      </x:c>
      <x:c r="H3" s="11" t="n">
        <x:v>19200</x:v>
      </x:c>
      <x:c r="I3" s="11" t="n">
        <x:v>15100</x:v>
      </x:c>
      <x:c r="J3" s="11" t="n">
        <x:f>H3+I3</x:f>
        <x:v>34300</x:v>
      </x:c>
      <x:c r="K3" s="11" t="n">
        <x:v>1201</x:v>
      </x:c>
      <x:c r="L3" s="11" t="n">
        <x:v>412</x:v>
      </x:c>
      <x:c r="M3" s="11" t="n">
        <x:v>0.25</x:v>
      </x:c>
      <x:c r="N3" s="11" t="n">
        <x:f>J3-K3+L3+M3</x:f>
        <x:v>33511.25</x:v>
      </x:c>
      <x:c r="O3" s="13" t="n">
        <x:v>128</x:v>
      </x:c>
      <x:c r="P3" s="13" t="n">
        <x:v>166</x:v>
      </x:c>
      <x:c r="Q3" s="11" t="n">
        <x:f>IF(P3=0,0,INT(N3/P3*100+0.5)/100)</x:f>
        <x:v>201.88</x:v>
      </x:c>
    </x:row>
    <x:row r="4" ht="21" customHeight="1">
      <x:c r="A4" s="3" t="str">
        <x:v>DS-W01-03</x:v>
      </x:c>
      <x:c r="B4" s="3" t="str">
        <x:v>ABNAH Cafe Connaught Place</x:v>
      </x:c>
      <x:c r="C4" s="9" t="n">
        <x:v>46211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35200</x:v>
      </x:c>
      <x:c r="H4" s="11" t="n">
        <x:v>19800</x:v>
      </x:c>
      <x:c r="I4" s="11" t="n">
        <x:v>15400</x:v>
      </x:c>
      <x:c r="J4" s="11" t="n">
        <x:f>H4+I4</x:f>
        <x:v>35200</x:v>
      </x:c>
      <x:c r="K4" s="11" t="n">
        <x:v>1232</x:v>
      </x:c>
      <x:c r="L4" s="11" t="n">
        <x:v>422</x:v>
      </x:c>
      <x:c r="M4" s="11" t="n">
        <x:v>-0.25</x:v>
      </x:c>
      <x:c r="N4" s="11" t="n">
        <x:f>J4-K4+L4+M4</x:f>
        <x:v>34389.75</x:v>
      </x:c>
      <x:c r="O4" s="13" t="n">
        <x:v>131</x:v>
      </x:c>
      <x:c r="P4" s="13" t="n">
        <x:v>170</x:v>
      </x:c>
      <x:c r="Q4" s="11" t="n">
        <x:f>IF(P4=0,0,INT(N4/P4*100+0.5)/100)</x:f>
        <x:v>202.29</x:v>
      </x:c>
    </x:row>
    <x:row r="5" ht="21" customHeight="1">
      <x:c r="A5" s="3" t="str">
        <x:v>DS-W01-04</x:v>
      </x:c>
      <x:c r="B5" s="3" t="str">
        <x:v>ABNAH Cafe Connaught Place</x:v>
      </x:c>
      <x:c r="C5" s="9" t="n">
        <x:v>46212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36500</x:v>
      </x:c>
      <x:c r="H5" s="11" t="n">
        <x:v>20500</x:v>
      </x:c>
      <x:c r="I5" s="11" t="n">
        <x:v>16000</x:v>
      </x:c>
      <x:c r="J5" s="11" t="n">
        <x:f>H5+I5</x:f>
        <x:v>36500</x:v>
      </x:c>
      <x:c r="K5" s="11" t="n">
        <x:v>1278</x:v>
      </x:c>
      <x:c r="L5" s="11" t="n">
        <x:v>438</x:v>
      </x:c>
      <x:c r="M5" s="11" t="n">
        <x:v>0.25</x:v>
      </x:c>
      <x:c r="N5" s="11" t="n">
        <x:f>J5-K5+L5+M5</x:f>
        <x:v>35660.25</x:v>
      </x:c>
      <x:c r="O5" s="13" t="n">
        <x:v>136</x:v>
      </x:c>
      <x:c r="P5" s="13" t="n">
        <x:v>177</x:v>
      </x:c>
      <x:c r="Q5" s="11" t="n">
        <x:f>IF(P5=0,0,INT(N5/P5*100+0.5)/100)</x:f>
        <x:v>201.47</x:v>
      </x:c>
    </x:row>
    <x:row r="6" ht="21" customHeight="1">
      <x:c r="A6" s="3" t="str">
        <x:v>DS-W01-05</x:v>
      </x:c>
      <x:c r="B6" s="3" t="str">
        <x:v>ABNAH Cafe Connaught Place</x:v>
      </x:c>
      <x:c r="C6" s="9" t="n">
        <x:v>46213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38900</x:v>
      </x:c>
      <x:c r="H6" s="11" t="n">
        <x:v>21800</x:v>
      </x:c>
      <x:c r="I6" s="11" t="n">
        <x:v>17100</x:v>
      </x:c>
      <x:c r="J6" s="11" t="n">
        <x:f>H6+I6</x:f>
        <x:v>38900</x:v>
      </x:c>
      <x:c r="K6" s="11" t="n">
        <x:v>1362</x:v>
      </x:c>
      <x:c r="L6" s="11" t="n">
        <x:v>467</x:v>
      </x:c>
      <x:c r="M6" s="11" t="n">
        <x:v>-0.25</x:v>
      </x:c>
      <x:c r="N6" s="11" t="n">
        <x:f>J6-K6+L6+M6</x:f>
        <x:v>38004.75</x:v>
      </x:c>
      <x:c r="O6" s="13" t="n">
        <x:v>145</x:v>
      </x:c>
      <x:c r="P6" s="13" t="n">
        <x:v>188</x:v>
      </x:c>
      <x:c r="Q6" s="11" t="n">
        <x:f>IF(P6=0,0,INT(N6/P6*100+0.5)/100)</x:f>
        <x:v>202.15</x:v>
      </x:c>
    </x:row>
    <x:row r="7" ht="21" customHeight="1">
      <x:c r="A7" s="3" t="str">
        <x:v>DS-W01-06</x:v>
      </x:c>
      <x:c r="B7" s="3" t="str">
        <x:v>ABNAH Cafe Connaught Place</x:v>
      </x:c>
      <x:c r="C7" s="9" t="n">
        <x:v>46214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47900</x:v>
      </x:c>
      <x:c r="H7" s="11" t="n">
        <x:v>26400</x:v>
      </x:c>
      <x:c r="I7" s="11" t="n">
        <x:v>21500</x:v>
      </x:c>
      <x:c r="J7" s="11" t="n">
        <x:f>H7+I7</x:f>
        <x:v>47900</x:v>
      </x:c>
      <x:c r="K7" s="11" t="n">
        <x:v>1677</x:v>
      </x:c>
      <x:c r="L7" s="11" t="n">
        <x:v>575</x:v>
      </x:c>
      <x:c r="M7" s="11" t="n">
        <x:v>0.25</x:v>
      </x:c>
      <x:c r="N7" s="11" t="n">
        <x:f>J7-K7+L7+M7</x:f>
        <x:v>46798.25</x:v>
      </x:c>
      <x:c r="O7" s="13" t="n">
        <x:v>176</x:v>
      </x:c>
      <x:c r="P7" s="13" t="n">
        <x:v>226</x:v>
      </x:c>
      <x:c r="Q7" s="11" t="n">
        <x:f>IF(P7=0,0,INT(N7/P7*100+0.5)/100)</x:f>
        <x:v>207.07</x:v>
      </x:c>
    </x:row>
    <x:row r="8" ht="21" customHeight="1">
      <x:c r="A8" s="3" t="str">
        <x:v>DS-W01-07</x:v>
      </x:c>
      <x:c r="B8" s="3" t="str">
        <x:v>ABNAH Cafe Connaught Place</x:v>
      </x:c>
      <x:c r="C8" s="9" t="n">
        <x:v>46215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50800</x:v>
      </x:c>
      <x:c r="H8" s="11" t="n">
        <x:v>27900</x:v>
      </x:c>
      <x:c r="I8" s="11" t="n">
        <x:v>22900</x:v>
      </x:c>
      <x:c r="J8" s="11" t="n">
        <x:f>H8+I8</x:f>
        <x:v>50800</x:v>
      </x:c>
      <x:c r="K8" s="11" t="n">
        <x:v>1778</x:v>
      </x:c>
      <x:c r="L8" s="11" t="n">
        <x:v>610</x:v>
      </x:c>
      <x:c r="M8" s="11" t="n">
        <x:v>-0.25</x:v>
      </x:c>
      <x:c r="N8" s="11" t="n">
        <x:f>J8-K8+L8+M8</x:f>
        <x:v>49631.75</x:v>
      </x:c>
      <x:c r="O8" s="13" t="n">
        <x:v>189</x:v>
      </x:c>
      <x:c r="P8" s="13" t="n">
        <x:v>242</x:v>
      </x:c>
      <x:c r="Q8" s="11" t="n">
        <x:f>IF(P8=0,0,INT(N8/P8*100+0.5)/100)</x:f>
        <x:v>205.09</x:v>
      </x:c>
    </x:row>
    <x:row r="9" ht="21" customHeight="1">
      <x:c r="A9" s="3" t="str">
        <x:v>DS-W02-01</x:v>
      </x:c>
      <x:c r="B9" s="3" t="str">
        <x:v>ABNAH Cafe Connaught Place</x:v>
      </x:c>
      <x:c r="C9" s="9" t="n">
        <x:v>46216</x:v>
      </x:c>
      <x:c r="D9" s="3" t="str">
        <x:v>All Day</x:v>
      </x:c>
      <x:c r="E9" s="3" t="str">
        <x:v>00:00-23:59</x:v>
      </x:c>
      <x:c r="F9" s="3" t="str">
        <x:v>Dine-in + Delivery</x:v>
      </x:c>
      <x:c r="G9" s="11" t="n">
        <x:f>H9+I9</x:f>
        <x:v>36000</x:v>
      </x:c>
      <x:c r="H9" s="11" t="n">
        <x:v>20100</x:v>
      </x:c>
      <x:c r="I9" s="11" t="n">
        <x:v>15900</x:v>
      </x:c>
      <x:c r="J9" s="11" t="n">
        <x:f>H9+I9</x:f>
        <x:v>36000</x:v>
      </x:c>
      <x:c r="K9" s="11" t="n">
        <x:v>1260</x:v>
      </x:c>
      <x:c r="L9" s="11" t="n">
        <x:v>432</x:v>
      </x:c>
      <x:c r="M9" s="11" t="n">
        <x:v>-0.25</x:v>
      </x:c>
      <x:c r="N9" s="11" t="n">
        <x:f>J9-K9+L9+M9</x:f>
        <x:v>35171.75</x:v>
      </x:c>
      <x:c r="O9" s="13" t="n">
        <x:v>131</x:v>
      </x:c>
      <x:c r="P9" s="13" t="n">
        <x:v>170</x:v>
      </x:c>
      <x:c r="Q9" s="11" t="n">
        <x:f>IF(P9=0,0,INT(N9/P9*100+0.5)/100)</x:f>
        <x:v>206.89</x:v>
      </x:c>
    </x:row>
    <x:row r="10" ht="21" customHeight="1">
      <x:c r="A10" s="3" t="str">
        <x:v>DS-W02-02</x:v>
      </x:c>
      <x:c r="B10" s="3" t="str">
        <x:v>ABNAH Cafe Connaught Place</x:v>
      </x:c>
      <x:c r="C10" s="9" t="n">
        <x:v>46217</x:v>
      </x:c>
      <x:c r="D10" s="3" t="str">
        <x:v>All Day</x:v>
      </x:c>
      <x:c r="E10" s="3" t="str">
        <x:v>00:00-23:59</x:v>
      </x:c>
      <x:c r="F10" s="3" t="str">
        <x:v>Dine-in + Delivery</x:v>
      </x:c>
      <x:c r="G10" s="11" t="n">
        <x:f>H10+I10</x:f>
        <x:v>37000</x:v>
      </x:c>
      <x:c r="H10" s="11" t="n">
        <x:v>20700</x:v>
      </x:c>
      <x:c r="I10" s="11" t="n">
        <x:v>16300</x:v>
      </x:c>
      <x:c r="J10" s="11" t="n">
        <x:f>H10+I10</x:f>
        <x:v>37000</x:v>
      </x:c>
      <x:c r="K10" s="11" t="n">
        <x:v>1295</x:v>
      </x:c>
      <x:c r="L10" s="11" t="n">
        <x:v>444</x:v>
      </x:c>
      <x:c r="M10" s="11" t="n">
        <x:v>0.25</x:v>
      </x:c>
      <x:c r="N10" s="11" t="n">
        <x:f>J10-K10+L10+M10</x:f>
        <x:v>36149.25</x:v>
      </x:c>
      <x:c r="O10" s="13" t="n">
        <x:v>136</x:v>
      </x:c>
      <x:c r="P10" s="13" t="n">
        <x:v>176</x:v>
      </x:c>
      <x:c r="Q10" s="11" t="n">
        <x:f>IF(P10=0,0,INT(N10/P10*100+0.5)/100)</x:f>
        <x:v>205.39</x:v>
      </x:c>
    </x:row>
    <x:row r="11" ht="21" customHeight="1">
      <x:c r="A11" s="3" t="str">
        <x:v>DS-W02-03</x:v>
      </x:c>
      <x:c r="B11" s="3" t="str">
        <x:v>ABNAH Cafe Connaught Place</x:v>
      </x:c>
      <x:c r="C11" s="9" t="n">
        <x:v>46218</x:v>
      </x:c>
      <x:c r="D11" s="3" t="str">
        <x:v>All Day</x:v>
      </x:c>
      <x:c r="E11" s="3" t="str">
        <x:v>00:00-23:59</x:v>
      </x:c>
      <x:c r="F11" s="3" t="str">
        <x:v>Dine-in + Delivery</x:v>
      </x:c>
      <x:c r="G11" s="11" t="n">
        <x:f>H11+I11</x:f>
        <x:v>38200</x:v>
      </x:c>
      <x:c r="H11" s="11" t="n">
        <x:v>21400</x:v>
      </x:c>
      <x:c r="I11" s="11" t="n">
        <x:v>16800</x:v>
      </x:c>
      <x:c r="J11" s="11" t="n">
        <x:f>H11+I11</x:f>
        <x:v>38200</x:v>
      </x:c>
      <x:c r="K11" s="11" t="n">
        <x:v>1337</x:v>
      </x:c>
      <x:c r="L11" s="11" t="n">
        <x:v>458</x:v>
      </x:c>
      <x:c r="M11" s="11" t="n">
        <x:v>-0.25</x:v>
      </x:c>
      <x:c r="N11" s="11" t="n">
        <x:f>J11-K11+L11+M11</x:f>
        <x:v>37320.75</x:v>
      </x:c>
      <x:c r="O11" s="13" t="n">
        <x:v>140</x:v>
      </x:c>
      <x:c r="P11" s="13" t="n">
        <x:v>181</x:v>
      </x:c>
      <x:c r="Q11" s="11" t="n">
        <x:f>IF(P11=0,0,INT(N11/P11*100+0.5)/100)</x:f>
        <x:v>206.19</x:v>
      </x:c>
    </x:row>
    <x:row r="12" ht="21" customHeight="1">
      <x:c r="A12" s="3" t="str">
        <x:v>DS-W02-04</x:v>
      </x:c>
      <x:c r="B12" s="3" t="str">
        <x:v>ABNAH Cafe Connaught Place</x:v>
      </x:c>
      <x:c r="C12" s="9" t="n">
        <x:v>46219</x:v>
      </x:c>
      <x:c r="D12" s="3" t="str">
        <x:v>All Day</x:v>
      </x:c>
      <x:c r="E12" s="3" t="str">
        <x:v>00:00-23:59</x:v>
      </x:c>
      <x:c r="F12" s="3" t="str">
        <x:v>Dine-in + Delivery</x:v>
      </x:c>
      <x:c r="G12" s="11" t="n">
        <x:f>H12+I12</x:f>
        <x:v>39400</x:v>
      </x:c>
      <x:c r="H12" s="11" t="n">
        <x:v>22000</x:v>
      </x:c>
      <x:c r="I12" s="11" t="n">
        <x:v>17400</x:v>
      </x:c>
      <x:c r="J12" s="11" t="n">
        <x:f>H12+I12</x:f>
        <x:v>39400</x:v>
      </x:c>
      <x:c r="K12" s="11" t="n">
        <x:v>1379</x:v>
      </x:c>
      <x:c r="L12" s="11" t="n">
        <x:v>473</x:v>
      </x:c>
      <x:c r="M12" s="11" t="n">
        <x:v>0.25</x:v>
      </x:c>
      <x:c r="N12" s="11" t="n">
        <x:f>J12-K12+L12+M12</x:f>
        <x:v>38494.25</x:v>
      </x:c>
      <x:c r="O12" s="13" t="n">
        <x:v>145</x:v>
      </x:c>
      <x:c r="P12" s="13" t="n">
        <x:v>188</x:v>
      </x:c>
      <x:c r="Q12" s="11" t="n">
        <x:f>IF(P12=0,0,INT(N12/P12*100+0.5)/100)</x:f>
        <x:v>204.76</x:v>
      </x:c>
    </x:row>
    <x:row r="13" ht="21" customHeight="1">
      <x:c r="A13" s="3" t="str">
        <x:v>DS-W02-05</x:v>
      </x:c>
      <x:c r="B13" s="3" t="str">
        <x:v>ABNAH Cafe Connaught Place</x:v>
      </x:c>
      <x:c r="C13" s="9" t="n">
        <x:v>46220</x:v>
      </x:c>
      <x:c r="D13" s="3" t="str">
        <x:v>All Day</x:v>
      </x:c>
      <x:c r="E13" s="3" t="str">
        <x:v>00:00-23:59</x:v>
      </x:c>
      <x:c r="F13" s="3" t="str">
        <x:v>Dine-in + Delivery</x:v>
      </x:c>
      <x:c r="G13" s="11" t="n">
        <x:f>H13+I13</x:f>
        <x:v>42400</x:v>
      </x:c>
      <x:c r="H13" s="11" t="n">
        <x:v>23800</x:v>
      </x:c>
      <x:c r="I13" s="11" t="n">
        <x:v>18600</x:v>
      </x:c>
      <x:c r="J13" s="11" t="n">
        <x:f>H13+I13</x:f>
        <x:v>42400</x:v>
      </x:c>
      <x:c r="K13" s="11" t="n">
        <x:v>1484</x:v>
      </x:c>
      <x:c r="L13" s="11" t="n">
        <x:v>509</x:v>
      </x:c>
      <x:c r="M13" s="11" t="n">
        <x:v>-0.25</x:v>
      </x:c>
      <x:c r="N13" s="11" t="n">
        <x:f>J13-K13+L13+M13</x:f>
        <x:v>41424.75</x:v>
      </x:c>
      <x:c r="O13" s="13" t="n">
        <x:v>156</x:v>
      </x:c>
      <x:c r="P13" s="13" t="n">
        <x:v>202</x:v>
      </x:c>
      <x:c r="Q13" s="11" t="n">
        <x:f>IF(P13=0,0,INT(N13/P13*100+0.5)/100)</x:f>
        <x:v>205.07</x:v>
      </x:c>
    </x:row>
    <x:row r="14" ht="21" customHeight="1">
      <x:c r="A14" s="3" t="str">
        <x:v>DS-W02-06</x:v>
      </x:c>
      <x:c r="B14" s="3" t="str">
        <x:v>ABNAH Cafe Connaught Place</x:v>
      </x:c>
      <x:c r="C14" s="9" t="n">
        <x:v>46221</x:v>
      </x:c>
      <x:c r="D14" s="3" t="str">
        <x:v>All Day</x:v>
      </x:c>
      <x:c r="E14" s="3" t="str">
        <x:v>00:00-23:59</x:v>
      </x:c>
      <x:c r="F14" s="3" t="str">
        <x:v>Dine-in + Delivery</x:v>
      </x:c>
      <x:c r="G14" s="11" t="n">
        <x:f>H14+I14</x:f>
        <x:v>51500</x:v>
      </x:c>
      <x:c r="H14" s="11" t="n">
        <x:v>28600</x:v>
      </x:c>
      <x:c r="I14" s="11" t="n">
        <x:v>22900</x:v>
      </x:c>
      <x:c r="J14" s="11" t="n">
        <x:f>H14+I14</x:f>
        <x:v>51500</x:v>
      </x:c>
      <x:c r="K14" s="11" t="n">
        <x:v>1803</x:v>
      </x:c>
      <x:c r="L14" s="11" t="n">
        <x:v>618</x:v>
      </x:c>
      <x:c r="M14" s="11" t="n">
        <x:v>0.25</x:v>
      </x:c>
      <x:c r="N14" s="11" t="n">
        <x:f>J14-K14+L14+M14</x:f>
        <x:v>50315.25</x:v>
      </x:c>
      <x:c r="O14" s="13" t="n">
        <x:v>188</x:v>
      </x:c>
      <x:c r="P14" s="13" t="n">
        <x:v>242</x:v>
      </x:c>
      <x:c r="Q14" s="11" t="n">
        <x:f>IF(P14=0,0,INT(N14/P14*100+0.5)/100)</x:f>
        <x:v>207.91</x:v>
      </x:c>
    </x:row>
    <x:row r="15" ht="21" customHeight="1">
      <x:c r="A15" s="3" t="str">
        <x:v>DS-W02-07</x:v>
      </x:c>
      <x:c r="B15" s="3" t="str">
        <x:v>ABNAH Cafe Connaught Place</x:v>
      </x:c>
      <x:c r="C15" s="9" t="n">
        <x:v>46222</x:v>
      </x:c>
      <x:c r="D15" s="3" t="str">
        <x:v>All Day</x:v>
      </x:c>
      <x:c r="E15" s="3" t="str">
        <x:v>00:00-23:59</x:v>
      </x:c>
      <x:c r="F15" s="3" t="str">
        <x:v>Dine-in + Delivery</x:v>
      </x:c>
      <x:c r="G15" s="11" t="n">
        <x:f>H15+I15</x:f>
        <x:v>54500</x:v>
      </x:c>
      <x:c r="H15" s="11" t="n">
        <x:v>30100</x:v>
      </x:c>
      <x:c r="I15" s="11" t="n">
        <x:v>24400</x:v>
      </x:c>
      <x:c r="J15" s="11" t="n">
        <x:f>H15+I15</x:f>
        <x:v>54500</x:v>
      </x:c>
      <x:c r="K15" s="11" t="n">
        <x:v>1908</x:v>
      </x:c>
      <x:c r="L15" s="11" t="n">
        <x:v>654</x:v>
      </x:c>
      <x:c r="M15" s="11" t="n">
        <x:v>-0.25</x:v>
      </x:c>
      <x:c r="N15" s="11" t="n">
        <x:f>J15-K15+L15+M15</x:f>
        <x:v>53245.75</x:v>
      </x:c>
      <x:c r="O15" s="13" t="n">
        <x:v>201</x:v>
      </x:c>
      <x:c r="P15" s="13" t="n">
        <x:v>259</x:v>
      </x:c>
      <x:c r="Q15" s="11" t="n">
        <x:f>IF(P15=0,0,INT(N15/P15*100+0.5)/100)</x:f>
        <x:v>205.58</x:v>
      </x:c>
    </x:row>
  </x:sheetData>
  <x:pageMargins left="0.7" right="0.7" top="0.75" bottom="0.75" header="0.3" footer="0.3"/>
  <x:tableParts count="1">
    <x:tablePart xmlns:r="http://schemas.openxmlformats.org/officeDocument/2006/relationships" r:id="R6a957245adb44b91"/>
  </x:tableParts>
</x:worksheet>
</file>